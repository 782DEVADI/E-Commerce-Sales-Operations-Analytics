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C70A3FAD-D6B7-4DDC-B973-46DFCAD4CE55}" xr6:coauthVersionLast="47" xr6:coauthVersionMax="47" xr10:uidLastSave="{00000000-0000-0000-0000-000000000000}"/>
  <bookViews>
    <workbookView xWindow="-108" yWindow="-108" windowWidth="23256" windowHeight="12456" activeTab="1" xr2:uid="{BDE146D9-D8D5-4CE9-9DED-A70D7D9DF408}"/>
  </bookViews>
  <sheets>
    <sheet name="pivots" sheetId="5" r:id="rId1"/>
    <sheet name="dashborad" sheetId="6" r:id="rId2"/>
    <sheet name="Sheet3" sheetId="7" r:id="rId3"/>
    <sheet name="Sheet4" sheetId="8" r:id="rId4"/>
    <sheet name="Sheet5" sheetId="9" r:id="rId5"/>
    <sheet name="Sheet6" sheetId="10" r:id="rId6"/>
    <sheet name="Sheet7" sheetId="11" r:id="rId7"/>
    <sheet name="Data" sheetId="1" r:id="rId8"/>
    <sheet name="Questions &amp; KPIs" sheetId="2" r:id="rId9"/>
  </sheets>
  <definedNames>
    <definedName name="_xlchart.v5.0" hidden="1">Sheet6!$O$6:$P$6</definedName>
    <definedName name="_xlchart.v5.1" hidden="1">Sheet6!$O$7:$P$64</definedName>
    <definedName name="_xlchart.v5.2" hidden="1">Sheet6!$Q$5:$Q$6</definedName>
    <definedName name="_xlchart.v5.3" hidden="1">Sheet6!$Q$6</definedName>
    <definedName name="_xlchart.v5.4" hidden="1">Sheet6!$Q$7:$Q$64</definedName>
    <definedName name="_xlchart.v5.5" hidden="1">Sheet6!$J$6:$K$6</definedName>
    <definedName name="_xlchart.v5.6" hidden="1">Sheet6!$J$7:$K$64</definedName>
    <definedName name="_xlchart.v5.7" hidden="1">Sheet6!$L$5:$L$6</definedName>
    <definedName name="_xlchart.v5.8" hidden="1">Sheet6!$L$6</definedName>
    <definedName name="_xlchart.v5.9" hidden="1">Sheet6!$L$7:$L$64</definedName>
    <definedName name="Slicer_Gender_Value">#N/A</definedName>
    <definedName name="Slicer_Order_Mode">#N/A</definedName>
  </definedNames>
  <calcPr calcId="191029"/>
  <pivotCaches>
    <pivotCache cacheId="22"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7" l="1"/>
  <c r="K5" i="7"/>
  <c r="L5" i="7"/>
  <c r="J6" i="7"/>
  <c r="K6" i="7"/>
  <c r="L6" i="7"/>
  <c r="J7" i="7"/>
  <c r="K7" i="7"/>
  <c r="L7" i="7"/>
  <c r="J8" i="7"/>
  <c r="K8" i="7"/>
  <c r="L8" i="7"/>
  <c r="J9" i="7"/>
  <c r="K9" i="7"/>
  <c r="L9" i="7"/>
  <c r="I6" i="7"/>
  <c r="I7" i="7"/>
  <c r="I8" i="7"/>
  <c r="I9" i="7"/>
  <c r="I5" i="7"/>
  <c r="J4" i="7"/>
  <c r="K4" i="7"/>
  <c r="L4" i="7"/>
  <c r="I4" i="7"/>
  <c r="H6" i="7"/>
  <c r="H7" i="7"/>
  <c r="H8" i="7"/>
  <c r="H9" i="7"/>
  <c r="H5" i="7"/>
  <c r="L5" i="5"/>
  <c r="N5" i="5"/>
  <c r="M5" i="5"/>
  <c r="K5" i="5"/>
  <c r="J5" i="5"/>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<sst xmlns="http://schemas.openxmlformats.org/spreadsheetml/2006/main" count="14863" uniqueCount="2542">
  <si>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</si>
  <si>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</si>
  <si>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</si>
  <si>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</si>
  <si>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</si>
  <si>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</si>
  <si>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</si>
  <si>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</si>
  <si>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</si>
  <si>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</si>
  <si>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</si>
  <si>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</si>
  <si>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</si>
  <si>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</si>
  <si>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</si>
  <si>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</si>
  <si>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</si>
  <si>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</si>
  <si>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</si>
  <si>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</si>
  <si>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</si>
  <si>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</si>
  <si>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</si>
  <si>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</si>
  <si>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</si>
  <si>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</si>
  <si>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</si>
  <si>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</si>
  <si>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</si>
  <si>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</si>
  <si>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</si>
  <si>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</si>
  <si>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</si>
  <si>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</si>
  <si>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</si>
  <si>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</si>
  <si>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</si>
  <si>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</si>
  <si>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</si>
  <si>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</si>
  <si>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</si>
  <si>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</si>
  <si>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</si>
  <si>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</si>
  <si>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</si>
  <si>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</si>
  <si>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</si>
  <si>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</si>
  <si>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</si>
  <si>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</si>
  <si>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</si>
  <si>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</si>
  <si>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</si>
  <si>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</si>
  <si>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</si>
  <si>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</si>
  <si>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</si>
  <si>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</si>
  <si>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</si>
  <si>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</si>
  <si>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</si>
  <si>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</si>
  <si>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</si>
  <si>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</si>
  <si>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</si>
  <si>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</si>
  <si>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</si>
  <si>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</si>
  <si>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</si>
  <si>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</si>
  <si>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</si>
  <si>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</si>
  <si>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</si>
  <si>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</si>
  <si>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</si>
  <si>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</si>
  <si>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</si>
  <si>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</si>
  <si>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</si>
  <si>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</si>
  <si>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</si>
  <si>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</si>
  <si>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</si>
  <si>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</si>
  <si>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</si>
  <si>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</si>
  <si>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</si>
  <si>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</si>
  <si>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</si>
  <si>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</si>
  <si>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</si>
  <si>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</si>
  <si>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</si>
  <si>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</si>
  <si>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</si>
  <si>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</si>
  <si>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</si>
  <si>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</si>
  <si>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</si>
  <si>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</si>
  <si>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</si>
  <si>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</si>
  <si>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</si>
  <si>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</si>
  <si>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</si>
  <si>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</si>
  <si>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</si>
  <si>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</si>
  <si>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</si>
  <si>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</si>
  <si>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</si>
  <si>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</si>
  <si>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</si>
  <si>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</si>
  <si>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</si>
  <si>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</si>
  <si>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</si>
  <si>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</si>
  <si>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</si>
  <si>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</si>
  <si>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</si>
  <si>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</si>
  <si>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</si>
  <si>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</si>
  <si>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</si>
  <si>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</si>
  <si>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</si>
  <si>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</si>
  <si>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</si>
  <si>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</si>
  <si>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</si>
  <si>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</si>
  <si>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</si>
  <si>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</si>
  <si>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</si>
  <si>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</si>
  <si>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</si>
  <si>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</si>
  <si>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</si>
  <si>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</si>
  <si>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</si>
  <si>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</si>
  <si>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</si>
  <si>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</si>
  <si>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</si>
  <si>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</si>
  <si>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</si>
  <si>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</si>
  <si>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</si>
  <si>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</si>
  <si>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</si>
  <si>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</si>
  <si>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</si>
  <si>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</si>
  <si>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</si>
  <si>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</si>
  <si>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</si>
  <si>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</si>
  <si>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</si>
  <si>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</si>
  <si>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</si>
  <si>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</si>
  <si>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</si>
  <si>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</si>
  <si>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</si>
  <si>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</si>
  <si>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</si>
  <si>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</si>
  <si>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</si>
  <si>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</si>
  <si>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</si>
  <si>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</si>
  <si>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</si>
  <si>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</si>
  <si>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</si>
  <si>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</si>
  <si>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</si>
  <si>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</si>
  <si>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</si>
  <si>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</si>
  <si>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</si>
  <si>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</si>
  <si>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</si>
  <si>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</si>
  <si>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</si>
  <si>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</si>
  <si>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</si>
  <si>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</si>
  <si>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</si>
  <si>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</si>
  <si>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</si>
  <si>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</si>
  <si>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</si>
  <si>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</si>
  <si>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</si>
  <si>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</si>
  <si>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</si>
  <si>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</si>
  <si>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</si>
  <si>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</si>
  <si>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</si>
  <si>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</si>
  <si>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</si>
  <si>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</si>
  <si>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</si>
  <si>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</si>
  <si>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</si>
  <si>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</si>
  <si>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</si>
  <si>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</si>
  <si>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</si>
  <si>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</si>
  <si>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</si>
  <si>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</si>
  <si>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</si>
  <si>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</si>
  <si>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</si>
  <si>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</si>
  <si>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</si>
  <si>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</si>
  <si>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</si>
  <si>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</si>
  <si>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</si>
  <si>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</si>
  <si>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</si>
  <si>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</si>
  <si>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</si>
  <si>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</si>
  <si>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</si>
  <si>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</si>
  <si>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</si>
  <si>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</si>
  <si>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</si>
  <si>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</si>
  <si>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</si>
  <si>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</si>
  <si>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</si>
  <si>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</si>
  <si>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</si>
  <si>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</si>
  <si>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</si>
  <si>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</si>
  <si>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</si>
  <si>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</si>
  <si>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</si>
  <si>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</si>
  <si>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</si>
  <si>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</si>
  <si>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</si>
  <si>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</si>
  <si>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</si>
  <si>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</si>
  <si>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</si>
  <si>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</si>
  <si>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</si>
  <si>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</si>
  <si>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</si>
  <si>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</si>
  <si>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</si>
  <si>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</si>
  <si>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</si>
  <si>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</si>
  <si>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</si>
  <si>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</si>
  <si>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</si>
  <si>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</si>
  <si>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</si>
  <si>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</si>
  <si>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</si>
  <si>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</si>
  <si>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</si>
  <si>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</si>
  <si>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</si>
  <si>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</si>
  <si>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</si>
  <si>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</si>
  <si>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</si>
  <si>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</si>
  <si>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</si>
  <si>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</si>
  <si>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</si>
  <si>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</si>
  <si>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</si>
  <si>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</si>
  <si>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</si>
  <si>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</si>
  <si>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</si>
  <si>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</si>
  <si>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</si>
  <si>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</si>
  <si>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</si>
  <si>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</si>
  <si>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</si>
  <si>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</si>
  <si>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</si>
  <si>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</si>
  <si>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</si>
  <si>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</si>
  <si>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</si>
  <si>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</si>
  <si>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</si>
  <si>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</si>
  <si>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</si>
  <si>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</si>
  <si>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</si>
  <si>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</si>
  <si>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</si>
  <si>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</si>
  <si>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</si>
  <si>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</si>
  <si>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</si>
  <si>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</si>
  <si>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</si>
  <si>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</si>
  <si>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</si>
  <si>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</si>
  <si>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</si>
  <si>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</si>
  <si>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</si>
  <si>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</si>
  <si>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</si>
  <si>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</si>
  <si>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</si>
  <si>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</si>
  <si>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</si>
  <si>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</si>
  <si>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</si>
  <si>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</si>
  <si>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</si>
  <si>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</si>
  <si>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</si>
  <si>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</si>
  <si>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</si>
  <si>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</si>
  <si>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</si>
  <si>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</si>
  <si>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</si>
  <si>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</si>
  <si>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</si>
  <si>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</si>
  <si>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</si>
  <si>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</si>
  <si>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</si>
  <si>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</si>
  <si>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</si>
  <si>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</si>
  <si>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</si>
  <si>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</si>
  <si>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</si>
  <si>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</si>
  <si>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</si>
  <si>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</si>
  <si>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</si>
  <si>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</si>
  <si>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</si>
  <si>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</si>
  <si>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</si>
  <si>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</si>
  <si>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</si>
  <si>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</si>
  <si>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</si>
  <si>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</si>
  <si>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</si>
  <si>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</si>
  <si>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</si>
  <si>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</si>
  <si>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</si>
  <si>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</si>
  <si>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</si>
  <si>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</si>
  <si>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</si>
  <si>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</si>
  <si>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</si>
  <si>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</si>
  <si>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</si>
  <si>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</si>
  <si>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</si>
  <si>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</si>
  <si>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</si>
  <si>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</si>
  <si>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</si>
  <si>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</si>
  <si>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</si>
  <si>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</si>
  <si>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</si>
  <si>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</si>
  <si>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</si>
  <si>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</si>
  <si>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</si>
  <si>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</si>
  <si>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</si>
  <si>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</si>
  <si>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</si>
  <si>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</si>
  <si>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</si>
  <si>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</si>
  <si>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</si>
  <si>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</si>
  <si>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</si>
  <si>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</si>
  <si>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</si>
  <si>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</si>
  <si>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</si>
  <si>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</si>
  <si>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</si>
  <si>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</si>
  <si>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</si>
  <si>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</si>
  <si>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</si>
  <si>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</si>
  <si>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</si>
  <si>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</si>
  <si>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</si>
  <si>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</si>
  <si>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</si>
  <si>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</si>
  <si>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</si>
  <si>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</si>
  <si>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</si>
  <si>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</si>
  <si>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</si>
  <si>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</si>
  <si>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</si>
  <si>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</si>
  <si>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</si>
  <si>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</si>
  <si>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</si>
  <si>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</si>
  <si>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</si>
  <si>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</si>
  <si>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</si>
  <si>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</si>
  <si>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</si>
  <si>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</si>
  <si>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</si>
  <si>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</si>
  <si>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</si>
  <si>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</si>
  <si>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</si>
  <si>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</si>
  <si>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</si>
  <si>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</si>
  <si>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</si>
  <si>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</si>
  <si>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</si>
  <si>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</si>
  <si>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</si>
  <si>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</si>
  <si>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</si>
  <si>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</si>
  <si>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</si>
  <si>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</si>
  <si>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</si>
  <si>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</si>
  <si>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</si>
  <si>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</si>
  <si>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</si>
  <si>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</si>
  <si>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</si>
  <si>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</si>
  <si>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</si>
  <si>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</si>
  <si>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</si>
  <si>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</si>
  <si>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</si>
  <si>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</si>
  <si>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</si>
  <si>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</si>
  <si>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</si>
  <si>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</si>
  <si>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</si>
  <si>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</si>
  <si>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</si>
  <si>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</si>
  <si>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</si>
  <si>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</si>
  <si>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</si>
  <si>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</si>
  <si>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</si>
  <si>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</si>
  <si>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</si>
  <si>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</si>
  <si>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</si>
  <si>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</si>
  <si>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</si>
  <si>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</si>
  <si>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</si>
  <si>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</si>
  <si>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</si>
  <si>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</si>
  <si>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</si>
  <si>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</si>
  <si>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</si>
  <si>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</si>
  <si>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</si>
  <si>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</si>
  <si>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</si>
  <si>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</si>
  <si>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</si>
  <si>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</si>
  <si>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</si>
  <si>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</si>
  <si>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</si>
  <si>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</si>
  <si>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</si>
  <si>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</si>
  <si>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</si>
  <si>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</si>
  <si>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</si>
  <si>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</si>
  <si>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</si>
  <si>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</si>
  <si>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</si>
  <si>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</si>
  <si>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</si>
  <si>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</si>
  <si>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</si>
  <si>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</si>
  <si>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</si>
  <si>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</si>
  <si>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</si>
  <si>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</si>
  <si>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</si>
  <si>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</si>
  <si>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</si>
  <si>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</si>
  <si>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</si>
  <si>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</si>
  <si>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</si>
  <si>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</si>
  <si>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</si>
  <si>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</si>
  <si>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</si>
  <si>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</si>
  <si>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</si>
  <si>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</si>
  <si>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</si>
  <si>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</si>
  <si>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</si>
  <si>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</si>
  <si>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</si>
  <si>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</si>
  <si>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</si>
  <si>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</si>
  <si>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</si>
  <si>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</si>
  <si>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</si>
  <si>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</si>
  <si>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</si>
  <si>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</si>
  <si>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</si>
  <si>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</si>
  <si>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</si>
  <si>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</si>
  <si>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</si>
  <si>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</si>
  <si>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</si>
  <si>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</si>
  <si>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</si>
  <si>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</si>
  <si>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</si>
  <si>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</si>
  <si>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</si>
  <si>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</si>
  <si>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</si>
  <si>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</si>
  <si>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</si>
  <si>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</si>
  <si>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</si>
  <si>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</si>
  <si>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</si>
  <si>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</si>
  <si>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</si>
  <si>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</si>
  <si>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</si>
  <si>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</si>
  <si>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</si>
  <si>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</si>
  <si>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</si>
  <si>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</si>
  <si>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</si>
  <si>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</si>
  <si>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</si>
  <si>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</si>
  <si>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</si>
  <si>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</si>
  <si>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</si>
  <si>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</si>
  <si>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</si>
  <si>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</si>
  <si>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</si>
  <si>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</si>
  <si>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</si>
  <si>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</si>
  <si>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</si>
  <si>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</si>
  <si>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</si>
  <si>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</si>
  <si>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</si>
  <si>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</si>
  <si>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</si>
  <si>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</si>
  <si>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</si>
  <si>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</si>
  <si>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</si>
  <si>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</si>
  <si>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</si>
  <si>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</si>
  <si>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</si>
  <si>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</si>
  <si>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</si>
  <si>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</si>
  <si>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</si>
  <si>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</si>
  <si>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</si>
  <si>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</si>
  <si>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</si>
  <si>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</si>
  <si>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</si>
  <si>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</si>
  <si>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</si>
  <si>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</si>
  <si>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</si>
  <si>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</si>
  <si>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</si>
  <si>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</si>
  <si>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</si>
  <si>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</si>
  <si>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</si>
  <si>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</si>
  <si>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</si>
  <si>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</si>
  <si>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</si>
  <si>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</si>
  <si>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</si>
  <si>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</si>
  <si>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</si>
  <si>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</si>
  <si>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</si>
  <si>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</si>
  <si>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</si>
  <si>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</si>
  <si>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</si>
  <si>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</si>
  <si>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</si>
  <si>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</si>
  <si>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</si>
  <si>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</si>
  <si>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</si>
  <si>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</si>
  <si>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</si>
  <si>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</si>
  <si>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</si>
  <si>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</si>
  <si>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</si>
  <si>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</si>
  <si>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</si>
  <si>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</si>
  <si>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</si>
  <si>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</si>
  <si>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</si>
  <si>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</si>
  <si>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</si>
  <si>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</si>
  <si>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</si>
  <si>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</si>
  <si>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</si>
  <si>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</si>
  <si>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</si>
  <si>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</si>
  <si>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</si>
  <si>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</si>
  <si>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</si>
  <si>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</si>
  <si>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</si>
  <si>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</si>
  <si>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</si>
  <si>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</si>
  <si>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</si>
  <si>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</si>
  <si>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</si>
  <si>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</si>
  <si>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</si>
  <si>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</si>
  <si>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</si>
  <si>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</si>
  <si>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</si>
  <si>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</si>
  <si>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</si>
  <si>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</si>
  <si>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</si>
  <si>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</si>
  <si>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</si>
  <si>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</si>
  <si>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</si>
  <si>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</si>
  <si>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</si>
  <si>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</si>
  <si>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</si>
  <si>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</si>
  <si>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</si>
  <si>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</si>
  <si>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</si>
  <si>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</si>
  <si>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</si>
  <si>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</si>
  <si>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</si>
  <si>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</si>
  <si>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</si>
  <si>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</si>
  <si>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</si>
  <si>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</si>
  <si>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</si>
  <si>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</si>
  <si>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</si>
  <si>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</si>
  <si>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</si>
  <si>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</si>
  <si>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</si>
  <si>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</si>
  <si>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</si>
  <si>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</si>
  <si>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</si>
  <si>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</si>
  <si>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</si>
  <si>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</si>
  <si>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</si>
  <si>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</si>
  <si>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</si>
  <si>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</si>
  <si>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</si>
  <si>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</si>
  <si>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</si>
  <si>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</si>
  <si>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</si>
  <si>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</si>
  <si>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</si>
  <si>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</si>
  <si>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</si>
  <si>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</si>
  <si>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</si>
  <si>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</si>
  <si>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</si>
  <si>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</si>
  <si>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</si>
  <si>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</si>
  <si>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</si>
  <si>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</si>
  <si>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</si>
  <si>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</si>
  <si>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</si>
  <si>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</si>
  <si>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</si>
  <si>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</si>
  <si>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</si>
  <si>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</si>
  <si>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</si>
  <si>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</si>
  <si>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</si>
  <si>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</si>
  <si>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</si>
  <si>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</si>
  <si>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</si>
  <si>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</si>
  <si>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</si>
  <si>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</si>
  <si>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</si>
  <si>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</si>
  <si>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</si>
  <si>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</si>
  <si>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</si>
  <si>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</si>
  <si>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</si>
  <si>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</si>
  <si>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</si>
  <si>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</si>
  <si>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</si>
  <si>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</si>
  <si>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</si>
  <si>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</si>
  <si>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</si>
  <si>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</si>
  <si>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</si>
  <si>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</si>
  <si>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</si>
  <si>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</si>
  <si>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</si>
  <si>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</si>
  <si>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</si>
  <si>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</si>
  <si>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</si>
  <si>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</si>
  <si>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</si>
  <si>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</si>
  <si>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</si>
  <si>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</si>
  <si>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</si>
  <si>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</si>
  <si>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</si>
  <si>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</si>
  <si>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</si>
  <si>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</si>
  <si>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</si>
  <si>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</si>
  <si>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</si>
  <si>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</si>
  <si>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</si>
  <si>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</si>
  <si>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</si>
  <si>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</si>
  <si>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</si>
  <si>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</si>
  <si>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</si>
  <si>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</si>
  <si>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</si>
  <si>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</si>
  <si>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</si>
  <si>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</si>
  <si>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</si>
  <si>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</si>
  <si>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</si>
  <si>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</si>
  <si>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</si>
  <si>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</si>
  <si>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</si>
  <si>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</si>
  <si>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</si>
  <si>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</si>
  <si>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</si>
  <si>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</si>
  <si>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</si>
  <si>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</si>
  <si>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</si>
  <si>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</si>
  <si>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</si>
  <si>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</si>
  <si>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</si>
  <si>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</si>
  <si>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</si>
  <si>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</si>
  <si>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</si>
  <si>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</si>
  <si>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</si>
  <si>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</si>
  <si>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</si>
  <si>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</si>
  <si>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</si>
  <si>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</si>
  <si>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</si>
  <si>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</si>
  <si>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</si>
  <si>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</si>
  <si>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</si>
  <si>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</si>
  <si>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</si>
  <si>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</si>
  <si>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</si>
  <si>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</si>
  <si>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</si>
  <si>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</si>
  <si>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</si>
  <si>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</si>
  <si>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</si>
  <si>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</si>
  <si>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</si>
  <si>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</si>
  <si>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</si>
  <si>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</si>
  <si>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</si>
  <si>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</si>
  <si>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</si>
  <si>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</si>
  <si>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</si>
  <si>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</si>
  <si>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</si>
  <si>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</si>
  <si>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</si>
  <si>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</si>
  <si>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</si>
  <si>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</si>
  <si>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</si>
  <si>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</si>
  <si>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</si>
  <si>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</si>
  <si>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</si>
  <si>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</si>
  <si>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</si>
  <si>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</si>
  <si>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</si>
  <si>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</si>
  <si>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</si>
  <si>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</si>
  <si>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</si>
  <si>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</si>
  <si>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</si>
  <si>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</si>
  <si>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</si>
  <si>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</si>
  <si>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</si>
  <si>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</si>
  <si>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</si>
  <si>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</si>
  <si>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</si>
  <si>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</si>
  <si>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</si>
  <si>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</si>
  <si>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</si>
  <si>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</si>
  <si>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</si>
  <si>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</si>
  <si>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</si>
  <si>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</si>
  <si>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</si>
  <si>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</si>
  <si>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</si>
  <si>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</si>
  <si>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</si>
  <si>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</si>
  <si>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</si>
  <si>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</si>
  <si>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</si>
  <si>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</si>
  <si>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</si>
  <si>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</si>
  <si>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</si>
  <si>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</si>
  <si>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</si>
  <si>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</si>
  <si>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</si>
  <si>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</si>
  <si>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</si>
  <si>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</si>
  <si>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</si>
  <si>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</si>
  <si>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</si>
  <si>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</si>
  <si>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</si>
  <si>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</si>
  <si>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</si>
  <si>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</si>
  <si>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</si>
  <si>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</si>
  <si>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</si>
  <si>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</si>
  <si>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</si>
  <si>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</si>
  <si>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</si>
  <si>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</si>
  <si>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</si>
  <si>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</si>
  <si>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</si>
  <si>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</si>
  <si>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</si>
  <si>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</si>
  <si>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</si>
  <si>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</si>
  <si>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</si>
  <si>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</si>
  <si>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</si>
  <si>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</si>
  <si>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</si>
  <si>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</si>
  <si>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</si>
  <si>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</si>
  <si>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</si>
  <si>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</si>
  <si>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</si>
  <si>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</si>
  <si>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</si>
  <si>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</si>
  <si>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</si>
  <si>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</si>
  <si>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</si>
  <si>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</si>
  <si>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</si>
  <si>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</si>
  <si>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</si>
  <si>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</si>
  <si>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</si>
  <si>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</si>
  <si>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</si>
  <si>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</si>
  <si>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</si>
  <si>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</si>
  <si>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</si>
  <si>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</si>
  <si>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</si>
  <si>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</si>
  <si>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</si>
  <si>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</si>
  <si>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</si>
  <si>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</si>
  <si>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</si>
  <si>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</si>
  <si>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</si>
  <si>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</si>
  <si>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</si>
  <si>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</si>
  <si>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</si>
  <si>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</si>
  <si>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</si>
  <si>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</si>
  <si>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</si>
  <si>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</si>
  <si>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</si>
  <si>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</si>
  <si>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</si>
  <si>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</si>
  <si>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</si>
  <si>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</si>
  <si>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</si>
  <si>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</si>
  <si>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</si>
  <si>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</si>
  <si>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</si>
  <si>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</si>
  <si>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</si>
  <si>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</si>
  <si>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</si>
  <si>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</si>
  <si>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</si>
  <si>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</si>
  <si>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</si>
  <si>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</si>
  <si>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</si>
  <si>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</si>
  <si>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</si>
  <si>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</si>
  <si>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</si>
  <si>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</si>
  <si>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</si>
  <si>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</si>
  <si>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</si>
  <si>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</si>
  <si>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</si>
  <si>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</si>
  <si>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</si>
  <si>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</si>
  <si>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</si>
  <si>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</si>
  <si>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</si>
  <si>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</si>
  <si>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</si>
  <si>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</si>
  <si>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</si>
  <si>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</si>
  <si>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</si>
  <si>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</si>
  <si>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</si>
  <si>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</si>
  <si>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</si>
  <si>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</si>
  <si>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</si>
  <si>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</si>
  <si>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</si>
  <si>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</si>
  <si>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</si>
  <si>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</si>
  <si>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</si>
  <si>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</si>
  <si>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</si>
  <si>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</si>
  <si>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</si>
  <si>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</si>
  <si>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</si>
  <si>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</si>
  <si>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</si>
  <si>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</si>
  <si>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</si>
  <si>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</si>
  <si>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</si>
  <si>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</si>
  <si>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</si>
  <si>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</si>
  <si>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</si>
  <si>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</si>
  <si>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</si>
  <si>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</si>
  <si>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</si>
  <si>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</si>
  <si>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</si>
  <si>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</si>
  <si>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</si>
  <si>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</si>
  <si>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</si>
  <si>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</si>
  <si>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</si>
  <si>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</si>
  <si>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</si>
  <si>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</si>
  <si>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</si>
  <si>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</si>
  <si>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</si>
  <si>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</si>
  <si>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</si>
  <si>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</si>
  <si>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</si>
  <si>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</si>
  <si>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</si>
  <si>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</si>
  <si>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</si>
  <si>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</si>
  <si>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</si>
  <si>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</si>
  <si>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</si>
  <si>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</si>
  <si>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</si>
  <si>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</si>
  <si>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</si>
  <si>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</si>
  <si>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</si>
  <si>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</si>
  <si>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</si>
  <si>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</si>
  <si>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</si>
  <si>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</si>
  <si>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</si>
  <si>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</si>
  <si>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</si>
  <si>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</si>
  <si>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</si>
  <si>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</si>
  <si>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</si>
  <si>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</si>
  <si>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</si>
  <si>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</si>
  <si>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</si>
  <si>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</si>
  <si>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</si>
  <si>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</si>
  <si>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</si>
  <si>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</si>
  <si>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</si>
  <si>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</si>
  <si>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</si>
  <si>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</si>
  <si>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</si>
  <si>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</si>
  <si>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</si>
  <si>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</si>
  <si>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</si>
  <si>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</si>
  <si>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</si>
  <si>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</si>
  <si>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</si>
  <si>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</si>
  <si>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</si>
  <si>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</si>
  <si>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</si>
  <si>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</si>
  <si>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</si>
  <si>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</si>
  <si>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</si>
  <si>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</si>
  <si>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</si>
  <si>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</si>
  <si>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</si>
  <si>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</si>
  <si>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</si>
  <si>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</si>
  <si>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</si>
  <si>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</si>
  <si>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</si>
  <si>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</si>
  <si>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</si>
  <si>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</si>
  <si>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</si>
  <si>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</si>
  <si>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</si>
  <si>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</si>
  <si>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</si>
  <si>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</si>
  <si>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</si>
  <si>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</si>
  <si>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</si>
  <si>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</si>
  <si>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</si>
  <si>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</si>
  <si>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</si>
  <si>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</si>
  <si>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</si>
  <si>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</si>
  <si>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</si>
  <si>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</si>
  <si>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</si>
  <si>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</si>
  <si>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</si>
  <si>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</si>
  <si>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</si>
  <si>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</si>
  <si>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</si>
  <si>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</si>
  <si>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</si>
  <si>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</si>
  <si>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</si>
  <si>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</si>
  <si>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</si>
  <si>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</si>
  <si>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</si>
  <si>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</si>
  <si>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</si>
  <si>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</si>
  <si>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</si>
  <si>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</si>
  <si>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</si>
  <si>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</si>
  <si>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</si>
  <si>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</si>
  <si>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</si>
  <si>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</si>
  <si>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</si>
  <si>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</si>
  <si>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</si>
  <si>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</si>
  <si>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</si>
  <si>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</si>
  <si>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</si>
  <si>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</si>
  <si>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</si>
  <si>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</si>
  <si>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</si>
  <si>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</si>
  <si>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</si>
  <si>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</si>
  <si>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</si>
  <si>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</si>
  <si>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</si>
  <si>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</si>
  <si>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</si>
  <si>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</si>
  <si>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</si>
  <si>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</si>
  <si>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</si>
  <si>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</si>
  <si>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</si>
  <si>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</si>
  <si>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</si>
  <si>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</si>
  <si>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</si>
  <si>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</si>
  <si>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</si>
  <si>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</si>
  <si>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</si>
  <si>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</si>
  <si>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</si>
  <si>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</si>
  <si>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</si>
  <si>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</si>
  <si>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</si>
  <si>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</si>
  <si>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</si>
  <si>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</si>
  <si>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</si>
  <si>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</si>
  <si>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</si>
  <si>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</si>
  <si>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</si>
  <si>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</si>
  <si>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</si>
  <si>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</si>
  <si>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</si>
  <si>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</si>
  <si>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</si>
  <si>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</si>
  <si>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</si>
  <si>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</si>
  <si>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</si>
  <si>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</si>
  <si>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</si>
  <si>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</si>
  <si>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</si>
  <si>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</si>
  <si>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</si>
  <si>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</si>
  <si>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</si>
  <si>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</si>
  <si>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</si>
  <si>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</si>
  <si>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</si>
  <si>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</si>
  <si>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</si>
  <si>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</si>
  <si>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</si>
  <si>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</si>
  <si>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</si>
  <si>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</si>
  <si>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</si>
  <si>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</si>
  <si>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</si>
  <si>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</si>
  <si>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</si>
  <si>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</si>
  <si>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</si>
  <si>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</si>
  <si>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</si>
  <si>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</si>
  <si>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</si>
  <si>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</si>
  <si>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</si>
  <si>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</si>
  <si>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</si>
  <si>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</si>
  <si>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</si>
  <si>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</si>
  <si>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</si>
  <si>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</si>
  <si>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</si>
  <si>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</si>
  <si>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</si>
  <si>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</si>
  <si>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</si>
  <si>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</si>
  <si>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</si>
  <si>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</si>
  <si>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</si>
  <si>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</si>
  <si>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</si>
  <si>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</si>
  <si>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</si>
  <si>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</si>
  <si>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</si>
  <si>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</si>
  <si>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</si>
  <si>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</si>
  <si>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</si>
  <si>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</si>
  <si>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</si>
  <si>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</si>
  <si>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</si>
  <si>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</si>
  <si>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</si>
  <si>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</si>
  <si>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</si>
  <si>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</si>
  <si>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</si>
  <si>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</si>
  <si>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</si>
  <si>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</si>
  <si>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</si>
  <si>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</si>
  <si>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</si>
  <si>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</si>
  <si>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</si>
  <si>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</si>
  <si>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</si>
  <si>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</si>
  <si>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</si>
  <si>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</si>
  <si>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</si>
  <si>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</si>
  <si>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</si>
  <si>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</si>
  <si>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</si>
  <si>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</si>
  <si>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</si>
  <si>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</si>
  <si>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</si>
  <si>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</si>
  <si>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</si>
  <si>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</si>
  <si>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</si>
  <si>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</si>
  <si>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</si>
  <si>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</si>
  <si>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</si>
  <si>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</si>
  <si>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</si>
  <si>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</si>
  <si>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</si>
  <si>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</si>
  <si>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</si>
  <si>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</si>
  <si>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</si>
  <si>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</si>
  <si>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</si>
  <si>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</si>
  <si>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</si>
  <si>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</si>
  <si>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</si>
  <si>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</si>
  <si>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</si>
  <si>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</si>
  <si>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</si>
  <si>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</si>
  <si>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</si>
  <si>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</si>
  <si>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</si>
  <si>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</si>
  <si>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</si>
  <si>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</si>
  <si>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</si>
  <si>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</si>
  <si>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</si>
  <si>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</si>
  <si>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</si>
  <si>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</si>
  <si>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</si>
  <si>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</si>
  <si>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</si>
  <si>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</si>
  <si>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</si>
  <si>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</si>
  <si>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</si>
  <si>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</si>
  <si>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</si>
  <si>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</si>
  <si>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</si>
  <si>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</si>
  <si>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</si>
  <si>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</si>
  <si>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</si>
  <si>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</si>
  <si>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</si>
  <si>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</si>
  <si>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</si>
  <si>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</si>
  <si>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</si>
  <si>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</si>
  <si>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</si>
  <si>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</si>
  <si>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</si>
  <si>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</si>
  <si>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</si>
  <si>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</si>
  <si>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</si>
  <si>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</si>
  <si>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</si>
  <si>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</si>
  <si>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</si>
  <si>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</si>
  <si>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</si>
  <si>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</si>
  <si>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</si>
  <si>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</si>
  <si>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</si>
  <si>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</si>
  <si>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</si>
  <si>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</si>
  <si>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</si>
  <si>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</si>
  <si>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</si>
  <si>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</si>
  <si>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</si>
  <si>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</si>
  <si>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</si>
  <si>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</si>
  <si>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</si>
  <si>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</si>
  <si>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</si>
  <si>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</si>
  <si>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</si>
  <si>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</si>
  <si>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</si>
  <si>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</si>
  <si>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</si>
  <si>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</si>
  <si>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</si>
  <si>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</si>
  <si>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</si>
  <si>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</si>
  <si>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</si>
  <si>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</si>
  <si>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</si>
  <si>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</si>
  <si>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</si>
  <si>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</si>
  <si>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</si>
  <si>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</si>
  <si>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</si>
  <si>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</si>
  <si>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</si>
  <si>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</si>
  <si>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</si>
  <si>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</si>
  <si>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</si>
  <si>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</si>
  <si>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</si>
  <si>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</si>
  <si>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</si>
  <si>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</si>
  <si>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</si>
  <si>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</si>
  <si>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</si>
  <si>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</si>
  <si>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</si>
  <si>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</si>
  <si>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</si>
  <si>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</si>
  <si>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</si>
  <si>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</si>
  <si>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</si>
  <si>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</si>
  <si>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</si>
  <si>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</si>
  <si>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</si>
  <si>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</si>
  <si>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</si>
  <si>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</si>
  <si>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</si>
  <si>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</si>
  <si>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</si>
  <si>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</si>
  <si>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</si>
  <si>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</si>
  <si>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</si>
  <si>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</si>
  <si>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</si>
  <si>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</si>
  <si>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</si>
  <si>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</si>
  <si>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</si>
  <si>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</si>
  <si>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</si>
  <si>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</si>
  <si>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</si>
  <si>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</si>
  <si>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</si>
  <si>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</si>
  <si>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</si>
  <si>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</si>
  <si>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</si>
  <si>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</si>
  <si>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</si>
  <si>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</si>
  <si>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</si>
  <si>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</si>
  <si>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</si>
  <si>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</si>
  <si>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</si>
  <si>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</si>
  <si>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</si>
  <si>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</si>
  <si>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</si>
  <si>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</si>
  <si>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</si>
  <si>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</si>
  <si>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</si>
  <si>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</si>
  <si>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</si>
  <si>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</si>
  <si>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</si>
  <si>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</si>
  <si>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</si>
  <si>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</si>
  <si>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</si>
  <si>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</si>
  <si>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</si>
  <si>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</si>
  <si>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</si>
  <si>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</si>
  <si>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</si>
  <si>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</si>
  <si>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</si>
  <si>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</si>
  <si>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</si>
  <si>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</si>
  <si>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</si>
  <si>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</si>
  <si>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</si>
  <si>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</si>
  <si>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</si>
  <si>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</si>
  <si>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</si>
  <si>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</si>
  <si>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</si>
  <si>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</si>
  <si>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</si>
  <si>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</si>
  <si>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</si>
  <si>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</si>
  <si>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</si>
  <si>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</si>
  <si>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</si>
  <si>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</si>
  <si>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</si>
  <si>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</si>
  <si>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</si>
  <si>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</si>
  <si>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</si>
  <si>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</si>
  <si>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</si>
  <si>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</si>
  <si>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</si>
  <si>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</si>
  <si>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</si>
  <si>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</si>
  <si>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</si>
  <si>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</si>
  <si>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</si>
  <si>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</si>
  <si>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</si>
  <si>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</si>
  <si>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</si>
  <si>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</si>
  <si>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</si>
  <si>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</si>
  <si>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</si>
  <si>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</si>
  <si>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</si>
  <si>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</si>
  <si>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</si>
  <si>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</si>
  <si>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</si>
  <si>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</si>
  <si>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</si>
  <si>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</si>
  <si>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</si>
  <si>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</si>
  <si>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</si>
  <si>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</si>
  <si>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</si>
  <si>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</si>
  <si>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</si>
  <si>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</si>
  <si>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</si>
  <si>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</si>
  <si>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</si>
  <si>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</si>
  <si>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</si>
  <si>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</si>
  <si>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</si>
  <si>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</si>
  <si>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</si>
  <si>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</si>
  <si>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</si>
  <si>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</si>
  <si>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</si>
  <si>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</si>
  <si>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</si>
  <si>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</si>
  <si>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</si>
  <si>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</si>
  <si>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</si>
  <si>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</si>
  <si>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</si>
  <si>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</si>
  <si>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</si>
  <si>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</si>
  <si>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</si>
  <si>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</si>
  <si>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</si>
  <si>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</si>
  <si>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</si>
  <si>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</si>
  <si>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</si>
  <si>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</si>
  <si>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</si>
  <si>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</si>
  <si>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</si>
  <si>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</si>
  <si>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</si>
  <si>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</si>
  <si>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</si>
  <si>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</si>
  <si>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</si>
  <si>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</si>
  <si>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</si>
  <si>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</si>
  <si>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</si>
  <si>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</si>
  <si>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</si>
  <si>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</si>
  <si>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</si>
  <si>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</si>
  <si>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</si>
  <si>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</si>
  <si>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</si>
  <si>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</si>
  <si>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</si>
  <si>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</si>
  <si>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</si>
  <si>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</si>
  <si>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</si>
  <si>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</si>
  <si>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</si>
  <si>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</si>
  <si>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</si>
  <si>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</si>
  <si>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</si>
  <si>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</si>
  <si>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</si>
  <si>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</si>
  <si>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</si>
  <si>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</si>
  <si>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</si>
  <si>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</si>
  <si>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</si>
  <si>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</si>
  <si>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</si>
  <si>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</si>
  <si>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</si>
  <si>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</si>
  <si>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</si>
  <si>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</si>
  <si>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</si>
  <si>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</si>
  <si>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</si>
  <si>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</si>
  <si>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</si>
  <si>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</si>
  <si>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</si>
  <si>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</si>
  <si>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</si>
  <si>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</si>
  <si>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</si>
  <si>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</si>
  <si>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</si>
  <si>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</si>
  <si>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</si>
  <si>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</si>
  <si>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</si>
  <si>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</si>
  <si>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</si>
  <si>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</si>
  <si>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</si>
  <si>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</si>
  <si>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</si>
  <si>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</si>
  <si>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</si>
  <si>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</si>
  <si>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</si>
  <si>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</si>
  <si>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</si>
  <si>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</si>
  <si>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</si>
  <si>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</si>
  <si>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</si>
  <si>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</si>
  <si>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</si>
  <si>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</si>
  <si>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</si>
  <si>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</si>
  <si>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</si>
  <si>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</si>
  <si>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</si>
  <si>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</si>
  <si>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</si>
  <si>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</si>
  <si>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</si>
  <si>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</si>
  <si>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</si>
  <si>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</si>
  <si>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</si>
  <si>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</si>
  <si>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</si>
  <si>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</si>
  <si>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</si>
  <si>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</si>
  <si>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</si>
  <si>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</si>
  <si>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</si>
  <si>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</si>
  <si>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</si>
  <si>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</si>
  <si>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</si>
  <si>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</si>
  <si>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</si>
  <si>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</si>
  <si>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</si>
  <si>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</si>
  <si>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</si>
  <si>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</si>
  <si>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</si>
  <si>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</si>
  <si>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</si>
  <si>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</si>
  <si>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</si>
  <si>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</si>
  <si>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</si>
  <si>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</si>
  <si>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</si>
  <si>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</si>
  <si>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</si>
  <si>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</si>
  <si>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</si>
  <si>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</si>
  <si>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</si>
  <si>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</si>
  <si>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</si>
  <si>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</si>
  <si>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</si>
  <si>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</si>
  <si>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</si>
  <si>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</si>
  <si>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</si>
  <si>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</si>
  <si>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</si>
  <si>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</si>
  <si>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</si>
  <si>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</si>
  <si>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</si>
  <si>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</si>
  <si>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</si>
  <si>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</si>
  <si>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</si>
  <si>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</si>
  <si>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</si>
  <si>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</si>
  <si>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</si>
  <si>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</si>
  <si>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</si>
  <si>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</si>
  <si>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</si>
  <si>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</si>
  <si>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</si>
  <si>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</si>
  <si>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</si>
  <si>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</si>
  <si>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</si>
  <si>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</si>
  <si>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</si>
  <si>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</si>
  <si>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</si>
  <si>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</si>
  <si>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</si>
  <si>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</si>
  <si>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</si>
  <si>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</si>
  <si>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</si>
  <si>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</si>
  <si>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</si>
  <si>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</si>
  <si>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</si>
  <si>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</si>
  <si>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</si>
  <si>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</si>
  <si>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</si>
  <si>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</si>
  <si>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</si>
  <si>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</si>
  <si>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</si>
  <si>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</si>
  <si>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</si>
  <si>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</si>
  <si>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</si>
  <si>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</si>
  <si>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</si>
  <si>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</si>
  <si>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</si>
  <si>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</si>
  <si>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</si>
  <si>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</si>
  <si>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</si>
  <si>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</si>
  <si>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</si>
  <si>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</si>
  <si>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</si>
  <si>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</si>
  <si>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</si>
  <si>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</si>
  <si>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</si>
  <si>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</si>
  <si>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</si>
  <si>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</si>
  <si>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</si>
  <si>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</si>
  <si>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</si>
  <si>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</si>
  <si>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</si>
  <si>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</si>
  <si>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</si>
  <si>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</si>
  <si>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</si>
  <si>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</si>
  <si>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</si>
  <si>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</si>
  <si>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</si>
  <si>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</si>
  <si>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</si>
  <si>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</si>
  <si>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</si>
  <si>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</si>
  <si>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</si>
  <si>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</si>
  <si>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</si>
  <si>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</si>
  <si>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</si>
  <si>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</si>
  <si>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</si>
  <si>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</si>
  <si>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</si>
  <si>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</si>
  <si>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</si>
  <si>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</si>
  <si>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</si>
  <si>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</si>
  <si>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</si>
  <si>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</si>
  <si>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</si>
  <si>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</si>
  <si>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</si>
  <si>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</si>
  <si>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</si>
  <si>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</si>
  <si>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</si>
  <si>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</si>
  <si>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</si>
  <si>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</si>
  <si>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</si>
  <si>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</si>
  <si>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</si>
  <si>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</si>
  <si>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</si>
  <si>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</si>
  <si>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</si>
  <si>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</si>
  <si>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</si>
  <si>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</si>
  <si>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</si>
  <si>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</si>
  <si>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</si>
  <si>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</si>
  <si>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</si>
  <si>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</si>
  <si>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</si>
  <si>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</si>
  <si>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</si>
  <si>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</si>
  <si>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</si>
  <si>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</si>
  <si>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</si>
  <si>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</si>
  <si>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</si>
  <si>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</si>
  <si>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</si>
  <si>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</si>
  <si>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</si>
  <si>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</si>
  <si>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</si>
  <si>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</si>
  <si>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</si>
  <si>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</si>
  <si>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</si>
  <si>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</si>
  <si>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</si>
  <si>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</si>
  <si>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</si>
  <si>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</si>
  <si>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</si>
  <si>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</si>
  <si>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</si>
  <si>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</si>
  <si>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</si>
  <si>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</si>
  <si>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</si>
  <si>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</si>
  <si>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</si>
  <si>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</si>
  <si>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</si>
  <si>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</si>
  <si>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</si>
  <si>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</si>
  <si>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</si>
  <si>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</si>
  <si>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</si>
  <si>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</si>
  <si>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</si>
  <si>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</si>
  <si>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</si>
  <si>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</si>
  <si>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</si>
  <si>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</si>
  <si>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</si>
  <si>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</si>
  <si>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</si>
  <si>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</si>
  <si>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</si>
  <si>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</si>
  <si>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</si>
  <si>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</si>
  <si>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</si>
  <si>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</si>
  <si>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</si>
  <si>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</si>
  <si>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</si>
  <si>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</si>
  <si>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</si>
  <si>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</si>
  <si>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</si>
  <si>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</si>
  <si>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</si>
  <si>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</si>
  <si>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</si>
  <si>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</si>
  <si>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</si>
  <si>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</si>
  <si>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</si>
  <si>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</si>
  <si>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</si>
  <si>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</si>
  <si>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</si>
  <si>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</si>
  <si>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</si>
  <si>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</si>
  <si>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</si>
  <si>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</si>
  <si>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</si>
  <si>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</si>
  <si>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</si>
  <si>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</si>
  <si>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</si>
  <si>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</si>
  <si>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</si>
  <si>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</si>
  <si>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</si>
  <si>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</si>
  <si>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</si>
  <si>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</si>
  <si>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</si>
  <si>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</si>
  <si>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</si>
  <si>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</si>
  <si>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</si>
  <si>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</si>
  <si>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</si>
  <si>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</si>
  <si>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</si>
  <si>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</si>
  <si>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</si>
  <si>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</si>
  <si>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</si>
  <si>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</si>
  <si>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</si>
  <si>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</si>
  <si>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</si>
  <si>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</si>
  <si>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</si>
  <si>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</si>
  <si>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</si>
  <si>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</si>
  <si>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</si>
  <si>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</si>
  <si>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</si>
  <si>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</si>
  <si>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</si>
  <si>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</si>
  <si>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</si>
  <si>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</si>
  <si>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</si>
  <si>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</si>
  <si>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</si>
  <si>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</si>
  <si>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</si>
  <si>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</si>
  <si>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</si>
  <si>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</si>
  <si>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</si>
  <si>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</si>
  <si>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</si>
  <si>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</si>
  <si>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</si>
  <si>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</si>
  <si>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</si>
  <si>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</si>
  <si>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</si>
  <si>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</si>
  <si>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</si>
  <si>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</si>
  <si>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</si>
  <si>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</si>
  <si>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</si>
  <si>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</si>
  <si>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</si>
  <si>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</si>
  <si>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</si>
  <si>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</si>
  <si>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</si>
  <si>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</si>
  <si>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</si>
  <si>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</si>
  <si>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</si>
  <si>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</si>
  <si>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</si>
  <si>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</si>
  <si>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</si>
  <si>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</si>
  <si>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</si>
  <si>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</si>
  <si>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</si>
  <si>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</si>
  <si>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</si>
  <si>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</si>
  <si>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</si>
  <si>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</si>
  <si>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</si>
  <si>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</si>
  <si>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</si>
  <si>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</si>
  <si>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</si>
  <si>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</si>
  <si>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</si>
  <si>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</si>
  <si>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</si>
  <si>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</si>
  <si>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</si>
  <si>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</si>
  <si>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</si>
  <si>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</si>
  <si>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</si>
  <si>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</si>
  <si>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</si>
  <si>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</si>
  <si>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</si>
  <si>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</si>
  <si>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</si>
  <si>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</si>
  <si>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</si>
  <si>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</si>
  <si>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</si>
  <si>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</si>
  <si>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</si>
  <si>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</si>
  <si>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</si>
  <si>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</si>
  <si>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</si>
  <si>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</si>
  <si>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</si>
  <si>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</si>
  <si>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</si>
  <si>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</si>
  <si>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</si>
  <si>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</si>
  <si>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</si>
  <si>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</si>
  <si>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</si>
  <si>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</si>
  <si>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</si>
  <si>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</si>
  <si>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</si>
  <si>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</si>
  <si>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</si>
  <si>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</si>
  <si>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</si>
  <si>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</si>
  <si>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</si>
  <si>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</si>
  <si>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</si>
  <si>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</si>
  <si>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</si>
  <si>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</si>
  <si>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</si>
  <si>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</si>
  <si>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</si>
  <si>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</si>
  <si>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</si>
  <si>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</si>
  <si>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</si>
  <si>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</si>
  <si>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</si>
  <si>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</si>
  <si>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</si>
  <si>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</si>
  <si>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</si>
  <si>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</si>
  <si>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</si>
  <si>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</si>
  <si>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</si>
  <si>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</si>
  <si>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</si>
  <si>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</si>
  <si>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</si>
  <si>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</si>
  <si>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</si>
  <si>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</si>
  <si>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</si>
  <si>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</si>
  <si>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</si>
  <si>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</si>
  <si>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</si>
  <si>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</si>
  <si>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</si>
  <si>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</si>
  <si>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</si>
  <si>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</si>
  <si>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</si>
  <si>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</si>
  <si>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</si>
  <si>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</si>
  <si>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</si>
  <si>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</si>
  <si>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</si>
  <si>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</si>
  <si>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</si>
  <si>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</si>
  <si>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</si>
  <si>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</si>
  <si>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</si>
  <si>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</si>
  <si>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</si>
  <si>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</si>
  <si>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</si>
  <si>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</si>
  <si>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</si>
  <si>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</si>
  <si>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</si>
  <si>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</si>
  <si>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</si>
  <si>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</si>
  <si>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</si>
  <si>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</si>
  <si>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</si>
  <si>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</si>
  <si>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</si>
  <si>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</si>
  <si>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</si>
  <si>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</si>
  <si>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</si>
  <si>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</si>
  <si>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</si>
  <si>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</si>
  <si>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</si>
  <si>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</si>
  <si>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</si>
  <si>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</si>
  <si>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</si>
  <si>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</si>
  <si>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</si>
  <si>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</si>
  <si>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</si>
  <si>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</si>
  <si>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</si>
  <si>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</si>
  <si>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</si>
  <si>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</si>
  <si>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</si>
  <si>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</si>
  <si>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</si>
  <si>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</si>
  <si>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</si>
  <si>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</si>
  <si>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</si>
  <si>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</si>
  <si>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</si>
  <si>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</si>
  <si>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</si>
  <si>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</si>
  <si>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</si>
  <si>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</si>
  <si>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</si>
  <si>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</si>
  <si>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</si>
  <si>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</si>
  <si>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</si>
  <si>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</si>
  <si>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</si>
  <si>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</si>
  <si>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</si>
  <si>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</si>
  <si>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</si>
  <si>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</si>
  <si>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</si>
  <si>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</si>
  <si>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</si>
  <si>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</si>
  <si>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</si>
  <si>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</si>
  <si>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</si>
  <si>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</si>
  <si>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</si>
  <si>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</si>
  <si>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</si>
  <si>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</si>
  <si>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</si>
  <si>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</si>
  <si>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</si>
  <si>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</si>
  <si>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</si>
  <si>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</si>
  <si>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</si>
  <si>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</si>
  <si>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</si>
  <si>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</si>
  <si>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</si>
  <si>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</si>
  <si>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</si>
  <si>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</si>
  <si>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</si>
  <si>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</si>
  <si>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</si>
  <si>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</si>
  <si>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</si>
  <si>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</si>
  <si>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</si>
  <si>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</si>
  <si>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</si>
  <si>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</si>
  <si>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</si>
  <si>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</si>
  <si>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</si>
  <si>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</si>
  <si>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</si>
  <si>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</si>
  <si>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</si>
  <si>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</si>
  <si>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</si>
  <si>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</si>
  <si>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</si>
  <si>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</si>
  <si>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</si>
  <si>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</si>
  <si>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</si>
  <si>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</si>
  <si>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</si>
  <si>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</si>
  <si>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</si>
  <si>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</si>
  <si>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</si>
  <si>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</si>
  <si>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</si>
  <si>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</si>
  <si>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</si>
  <si>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</si>
  <si>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</si>
  <si>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</si>
  <si>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</si>
  <si>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</si>
  <si>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</si>
  <si>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</si>
  <si>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</si>
  <si>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</si>
  <si>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</si>
  <si>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</si>
  <si>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</si>
  <si>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</si>
  <si>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</si>
  <si>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</si>
  <si>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</si>
  <si>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</si>
  <si>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</si>
  <si>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</si>
  <si>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</si>
  <si>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</si>
  <si>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</si>
  <si>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</si>
  <si>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</si>
  <si>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</si>
  <si>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</si>
  <si>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</si>
  <si>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</si>
  <si>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</si>
  <si>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</si>
  <si>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</si>
  <si>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</si>
  <si>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</si>
  <si>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</si>
  <si>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</si>
  <si>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</si>
  <si>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</si>
  <si>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</si>
  <si>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</si>
  <si>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</si>
  <si>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</si>
  <si>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</si>
  <si>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</si>
  <si>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</si>
  <si>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</si>
  <si>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</si>
  <si>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</si>
  <si>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</si>
  <si>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</si>
  <si>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</si>
  <si>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</si>
  <si>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</si>
  <si>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</si>
  <si>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</si>
  <si>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</si>
  <si>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</si>
  <si>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</si>
  <si>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</si>
  <si>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</si>
  <si>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</si>
  <si>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</si>
  <si>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</si>
  <si>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</si>
  <si>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</si>
  <si>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</si>
  <si>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</si>
  <si>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</si>
  <si>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</si>
  <si>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</si>
  <si>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</si>
  <si>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</si>
  <si>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</si>
  <si>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</si>
  <si>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</si>
  <si>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</si>
  <si>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</si>
  <si>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</si>
  <si>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</si>
  <si>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</si>
  <si>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</si>
  <si>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</si>
  <si>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</si>
  <si>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</si>
  <si>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</si>
  <si>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</si>
  <si>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</si>
  <si>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</si>
  <si>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</si>
  <si>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</si>
  <si>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</si>
  <si>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</si>
  <si>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</si>
  <si>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</si>
  <si>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</si>
  <si>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</si>
  <si>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</si>
  <si>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</si>
  <si>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</si>
  <si>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</si>
  <si>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</si>
  <si>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</si>
  <si>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</si>
  <si>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</si>
  <si>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</si>
  <si>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</si>
  <si>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</si>
  <si>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</si>
  <si>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</si>
  <si>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</si>
  <si>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</si>
  <si>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</si>
  <si>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</si>
  <si>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</si>
  <si>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</si>
  <si>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</si>
  <si>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</si>
  <si>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</si>
  <si>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</si>
  <si>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</si>
  <si>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</si>
  <si>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</si>
  <si>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</si>
  <si>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</si>
  <si>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</si>
  <si>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</si>
  <si>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</si>
  <si>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</si>
  <si>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</si>
  <si>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</si>
  <si>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</si>
  <si>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</si>
  <si>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</si>
  <si>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</si>
  <si>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</si>
  <si>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</si>
  <si>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</si>
  <si>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</si>
  <si>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</si>
  <si>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</si>
  <si>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</si>
  <si>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</si>
  <si>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</si>
  <si>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</si>
  <si>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</si>
  <si>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</si>
  <si>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</si>
  <si>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</si>
  <si>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</si>
  <si>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</si>
  <si>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</si>
  <si>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</si>
  <si>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</si>
  <si>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</si>
  <si>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</si>
  <si>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</si>
  <si>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</si>
  <si>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</si>
  <si>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</si>
  <si>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</si>
  <si>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</si>
  <si>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</si>
  <si>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</si>
  <si>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</si>
  <si>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</si>
  <si>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</si>
  <si>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</si>
  <si>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</si>
  <si>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</si>
  <si>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</si>
  <si>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</si>
  <si>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</si>
  <si>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</si>
  <si>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</si>
  <si>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</si>
  <si>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</si>
  <si>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</si>
  <si>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</si>
  <si>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</si>
  <si>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</si>
  <si>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</si>
  <si>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</si>
  <si>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</si>
  <si>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</si>
  <si>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</si>
  <si>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</si>
  <si>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</si>
  <si>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</si>
  <si>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</si>
  <si>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</si>
  <si>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</si>
  <si>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</si>
  <si>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</si>
  <si>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</si>
  <si>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</si>
  <si>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</si>
  <si>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</si>
  <si>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</si>
  <si>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</si>
  <si>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</si>
  <si>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</si>
  <si>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</si>
  <si>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</si>
  <si>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</si>
  <si>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</si>
  <si>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</si>
  <si>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</si>
  <si>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</si>
  <si>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Row Labels</t>
  </si>
  <si>
    <t>Grand Total</t>
  </si>
  <si>
    <t>Count of TX ID</t>
  </si>
  <si>
    <t>Sum of Quantity</t>
  </si>
  <si>
    <t>Sum of Amount</t>
  </si>
  <si>
    <t>Average of Rating C</t>
  </si>
  <si>
    <t>Average of Days to Deliver</t>
  </si>
  <si>
    <t>Values for display</t>
  </si>
  <si>
    <t>orders</t>
  </si>
  <si>
    <t>qty</t>
  </si>
  <si>
    <t>amount</t>
  </si>
  <si>
    <t>avg. days</t>
  </si>
  <si>
    <t>avg. rating</t>
  </si>
  <si>
    <t>Female</t>
  </si>
  <si>
    <t>Male</t>
  </si>
  <si>
    <t>Other</t>
  </si>
  <si>
    <t>Unknown</t>
  </si>
  <si>
    <t>Column Labels</t>
  </si>
  <si>
    <t>for matrix</t>
  </si>
  <si>
    <t xml:space="preserve"> </t>
  </si>
  <si>
    <t>6 To 10</t>
  </si>
  <si>
    <t>More than 10</t>
  </si>
  <si>
    <t>map for qty</t>
  </si>
  <si>
    <t>map for 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</si>
</sst>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bgColor indexed="64"/>
      </patternFill>
    </fill>
    <fill>
      <patternFill patternType="solid">
        <fgColor theme="1"/>
        <bgColor indexed="64"/>
      </patternFill>
    </fill>
  </fills>
  <borders count="1">
    <border>
      <left/>
      <right/>
      <top/>
      <bottom/>
      <diagonal/>
    </border>
  </borders>
  <cellStyleXfs count="1">
    <xf numFmtId="0" fontId="0" fillId="0" borderId="0"/>
  </cellStyleXfs>
  <cellXfs count="11">
    <xf numFmtId="0" fontId="0" fillId="0" borderId="0" xfId="0"/>
    <xf numFmtId="15" fontId="0" fillId="0" borderId="0" xfId="0" applyNumberFormat="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0" fontId="0" fillId="0" borderId="0" xfId="0" applyNumberFormat="1"/>
    <xf numFmtId="165" fontId="0" fillId="0" borderId="0" xfId="0" applyNumberFormat="1"/>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166" formatCode="d\-mmm\-yy"/>
    </dxf>
    <dxf>
      <numFmt numFmtId="166" formatCode="d\-mmm\-yy"/>
    </dxf>
    <dxf>
      <fill>
        <patternFill patternType="solid">
          <fgColor indexed="64"/>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[ecommerce-blank.xlsx]pivots!PivotTable3</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4.6296296296296294E-2"/>
          <c:w val="0.80372703412073487"/>
          <c:h val="0.84204505686789155"/>
        </c:manualLayout>
      </c:layout>
      <c:lineChart>
        <c:grouping val="stacked"/>
        <c:varyColors val="0"/>
        <c:ser>
          <c:idx val="0"/>
          <c:order val="0"/>
          <c:tx>
            <c:strRef>
              <c:f>pivots!$B$8</c:f>
              <c:strCache>
                <c:ptCount val="1"/>
                <c:pt idx="0">
                  <c:v>Sum of Quantity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pivots!$B$9:$B$22</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0FAB-467E-999F-683B2B4C0E3E}"/>
            </c:ext>
          </c:extLst>
        </c:ser>
        <c:dLbls>
          <c:showLegendKey val="0"/>
          <c:showVal val="0"/>
          <c:showCatName val="0"/>
          <c:showSerName val="0"/>
          <c:showPercent val="0"/>
          <c:showBubbleSize val="0"/>
        </c:dLbls>
        <c:marker val="1"/>
        <c:smooth val="0"/>
        <c:axId val="2020069615"/>
        <c:axId val="2020071535"/>
      </c:lineChart>
      <c:lineChart>
        <c:grouping val="stacked"/>
        <c:varyColors val="0"/>
        <c:ser>
          <c:idx val="1"/>
          <c:order val="1"/>
          <c:tx>
            <c:strRef>
              <c:f>pivots!$C$8</c:f>
              <c:strCache>
                <c:ptCount val="1"/>
                <c:pt idx="0">
                  <c:v>Sum of Amount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pivots!$A$9:$A$22</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pivots!$C$9:$C$22</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0FAB-467E-999F-683B2B4C0E3E}"/>
            </c:ext>
          </c:extLst>
        </c:ser>
        <c:dLbls>
          <c:showLegendKey val="0"/>
          <c:showVal val="0"/>
          <c:showCatName val="0"/>
          <c:showSerName val="0"/>
          <c:showPercent val="0"/>
          <c:showBubbleSize val="0"/>
        </c:dLbls>
        <c:marker val="1"/>
        <c:smooth val="0"/>
        <c:axId val="1232494831"/>
        <c:axId val="1232494351"/>
      </c:lineChart>
      <c:catAx>
        <c:axId val="202006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71535"/>
        <c:crosses val="autoZero"/>
        <c:auto val="1"/>
        <c:lblAlgn val="ctr"/>
        <c:lblOffset val="100"/>
        <c:noMultiLvlLbl val="0"/>
      </c:catAx>
      <c:valAx>
        <c:axId val="202007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069615"/>
        <c:crosses val="autoZero"/>
        <c:crossBetween val="between"/>
      </c:valAx>
      <c:valAx>
        <c:axId val="1232494351"/>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494831"/>
        <c:crosses val="max"/>
        <c:crossBetween val="between"/>
      </c:valAx>
      <c:catAx>
        <c:axId val="1232494831"/>
        <c:scaling>
          <c:orientation val="minMax"/>
        </c:scaling>
        <c:delete val="1"/>
        <c:axPos val="b"/>
        <c:numFmt formatCode="General" sourceLinked="1"/>
        <c:majorTickMark val="out"/>
        <c:minorTickMark val="none"/>
        <c:tickLblPos val="nextTo"/>
        <c:crossAx val="1232494351"/>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[ecommerce-blank.xlsx]Sheet4!Pivot count</c:name>
    <c:fmtId val="7"/>
  </c:pivotSource>
  <c:chart>
    <c:title>
      <c:tx>
        <c:rich>
          <a:bodyPr rot="0" spcFirstLastPara="1" vertOverflow="ellipsis" vert="horz" wrap="square" anchor="ctr" anchorCtr="1"/>
          <a:lstStyle/>
          <a:p>
            <a:pPr>
              <a:defRPr lang="en-US" sz="1200" b="0" i="0" u="none" strike="noStrike" kern="1200" baseline="0">
                <a:solidFill>
                  <a:schemeClr val="tx1"/>
                </a:solidFill>
                <a:effectLst/>
                <a:latin typeface="+mn-lt"/>
                <a:ea typeface="+mn-ea"/>
                <a:cs typeface="+mn-cs"/>
              </a:defRPr>
            </a:pPr>
            <a:r>
              <a:rPr lang="en-US" sz="1600" b="1"/>
              <a:t>TRANX</a:t>
            </a:r>
            <a:r>
              <a:rPr lang="en-US" sz="1600" b="1" baseline="0"/>
              <a:t> ID</a:t>
            </a:r>
            <a:endParaRPr lang="en-US" sz="1600" b="1"/>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a:gsLst>
                <a:gs pos="0">
                  <a:schemeClr val="accent5"/>
                </a:gs>
                <a:gs pos="100000">
                  <a:schemeClr val="accent5">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Sheet4!$A$4:$A$11</c:f>
              <c:strCache>
                <c:ptCount val="7"/>
                <c:pt idx="0">
                  <c:v>1</c:v>
                </c:pt>
                <c:pt idx="1">
                  <c:v>2</c:v>
                </c:pt>
                <c:pt idx="2">
                  <c:v>3</c:v>
                </c:pt>
                <c:pt idx="3">
                  <c:v>4</c:v>
                </c:pt>
                <c:pt idx="4">
                  <c:v>5</c:v>
                </c:pt>
                <c:pt idx="5">
                  <c:v>6 To 10</c:v>
                </c:pt>
                <c:pt idx="6">
                  <c:v>More than 10</c:v>
                </c:pt>
              </c:strCache>
            </c:strRef>
          </c:cat>
          <c:val>
            <c:numRef>
              <c:f>Sheet4!$B$4:$B$11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7D5A-4572-B3A2-3BF8334392EF}"/>
            </c:ext>
          </c:extLst>
        </c:ser>
        <c:dLbls>
          <c:dLblPos val="inEnd"/>
          <c:showLegendKey val="0"/>
          <c:showVal val="1"/>
          <c:showCatName val="0"/>
          <c:showSerName val="0"/>
          <c:showPercent val="0"/>
          <c:showBubbleSize val="0"/>
        </c:dLbls>
        <c:gapWidth val="41"/>
        <c:axId val="742293247"/>
        <c:axId val="742295647"/>
      </c:barChart>
      <c:catAx>
        <c:axId val="7422932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effectLst/>
                <a:latin typeface="+mn-lt"/>
                <a:ea typeface="+mn-ea"/>
                <a:cs typeface="+mn-cs"/>
              </a:defRPr>
            </a:pPr>
            <a:endParaRPr lang="en-US"/>
          </a:p>
        </c:txPr>
        <c:crossAx val="742295647"/>
        <c:crosses val="autoZero"/>
        <c:auto val="1"/>
        <c:lblAlgn val="ctr"/>
        <c:lblOffset val="100"/>
        <c:noMultiLvlLbl val="0"/>
      </c:catAx>
      <c:valAx>
        <c:axId val="742295647"/>
        <c:scaling>
          <c:orientation val="minMax"/>
        </c:scaling>
        <c:delete val="1"/>
        <c:axPos val="l"/>
        <c:numFmt formatCode="General" sourceLinked="1"/>
        <c:majorTickMark val="none"/>
        <c:minorTickMark val="none"/>
        <c:tickLblPos val="nextTo"/>
        <c:crossAx val="74229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[ecommerce-blank.xlsx]Sheet5!pivotsummary</c:name>
    <c:fmtId val="7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Female</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92D6-45D5-BD25-151D1D082F7D}"/>
            </c:ext>
          </c:extLst>
        </c:ser>
        <c:ser>
          <c:idx val="1"/>
          <c:order val="1"/>
          <c:tx>
            <c:strRef>
              <c:f>Sheet5!$C$3:$C$4</c:f>
              <c:strCache>
                <c:ptCount val="1"/>
                <c:pt idx="0">
                  <c:v>Male</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B-1A17-45CC-8530-6C60D7FFCD05}"/>
            </c:ext>
          </c:extLst>
        </c:ser>
        <c:ser>
          <c:idx val="2"/>
          <c:order val="2"/>
          <c:tx>
            <c:strRef>
              <c:f>Sheet5!$D$3:$D$4</c:f>
              <c:strCache>
                <c:ptCount val="1"/>
                <c:pt idx="0">
                  <c:v>Other</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C-1A17-45CC-8530-6C60D7FFCD05}"/>
            </c:ext>
          </c:extLst>
        </c:ser>
        <c:ser>
          <c:idx val="3"/>
          <c:order val="3"/>
          <c:tx>
            <c:strRef>
              <c:f>Sheet5!$E$3:$E$4</c:f>
              <c:strCache>
                <c:ptCount val="1"/>
                <c:pt idx="0">
                  <c:v>Unknown</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cat>
            <c:strRef>
              <c:f>Sheet5!$A$5:$A$25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D-1A17-45CC-8530-6C60D7FFCD05}"/>
            </c:ext>
          </c:extLst>
        </c:ser>
        <c:dLbls>
          <c:showLegendKey val="0"/>
          <c:showVal val="0"/>
          <c:showCatName val="0"/>
          <c:showSerName val="0"/>
          <c:showPercent val="0"/>
          <c:showBubbleSize val="0"/>
        </c:dLbls>
        <c:gapWidth val="115"/>
        <c:overlap val="-20"/>
        <c:axId val="1886136847"/>
        <c:axId val="1886134927"/>
      </c:barChart>
      <c:catAx>
        <c:axId val="1886136847"/>
        <c:scaling>
          <c:orientation val="maxMin"/>
        </c:scaling>
        <c:delete val="0"/>
        <c:axPos val="l"/>
        <c:numFmt formatCode="General" sourceLinked="1"/>
        <c:majorTickMark val="none"/>
        <c:minorTickMark val="none"/>
        <c:tickLblPos val="high"/>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solidFill>
                <a:latin typeface="+mn-lt"/>
                <a:ea typeface="+mn-ea"/>
                <a:cs typeface="+mn-cs"/>
              </a:defRPr>
            </a:pPr>
            <a:endParaRPr lang="en-US"/>
          </a:p>
        </c:txPr>
        <c:crossAx val="1886134927"/>
        <c:crosses val="autoZero"/>
        <c:auto val="1"/>
        <c:lblAlgn val="ctr"/>
        <c:lblOffset val="100"/>
        <c:noMultiLvlLbl val="0"/>
      </c:catAx>
      <c:valAx>
        <c:axId val="1886134927"/>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88613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[ecommerce-blank.xlsx]Sheet5!Pivot gender</c:name>
    <c:fmtId val="8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Sheet5!$L$5</c:f>
              <c:strCache>
                <c:ptCount val="1"/>
                <c:pt idx="0">
                  <c:v>Total</c:v>
                </c:pt>
              </c:strCache>
            </c:strRef>
          </c:tx>
          <c:dPt>
            <c:idx val="0"/>
            <c:bubble3D val="0"/>
            <c:spPr>
              <a:solidFill>
                <a:schemeClr val="accent5">
                  <a:shade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FAB-45E1-8698-11D3EEDDF4F7}"/>
              </c:ext>
            </c:extLst>
          </c:dPt>
          <c:dPt>
            <c:idx val="1"/>
            <c:bubble3D val="0"/>
            <c:spPr>
              <a:solidFill>
                <a:schemeClr val="accent5">
                  <a:shade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FAB-45E1-8698-11D3EEDDF4F7}"/>
              </c:ext>
            </c:extLst>
          </c:dPt>
          <c:dPt>
            <c:idx val="2"/>
            <c:bubble3D val="0"/>
            <c:spPr>
              <a:solidFill>
                <a:schemeClr val="accent5">
                  <a:tint val="8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FAB-45E1-8698-11D3EEDDF4F7}"/>
              </c:ext>
            </c:extLst>
          </c:dPt>
          <c:dPt>
            <c:idx val="3"/>
            <c:bubble3D val="0"/>
            <c:spPr>
              <a:solidFill>
                <a:schemeClr val="accent5">
                  <a:tint val="58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CFAB-45E1-8698-11D3EEDDF4F7}"/>
              </c:ext>
            </c:extLst>
          </c:dPt>
          <c:dLbls>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Sheet5!$K$6:$K$10</c:f>
              <c:strCache>
                <c:ptCount val="4"/>
                <c:pt idx="0">
                  <c:v>Female</c:v>
                </c:pt>
                <c:pt idx="1">
                  <c:v>Male</c:v>
                </c:pt>
                <c:pt idx="2">
                  <c:v>Other</c:v>
                </c:pt>
                <c:pt idx="3">
                  <c:v>Unknown</c:v>
                </c:pt>
              </c:strCache>
            </c:strRef>
          </c:cat>
          <c:val>
            <c:numRef>
              <c:f>Sheet5!$L$6:$L$10</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CFAB-45E1-8698-11D3EEDDF4F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0916980423856193"/>
          <c:y val="0.22666968844510796"/>
          <c:w val="0.33333319614173318"/>
          <c:h val="0.573063962321650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_xlchart.v5.6</cx:f>
        <cx:nf>_xlchart.v5.5</cx:nf>
      </cx:strDim>
      <cx:numDim type="colorVal">
        <cx:f>_xlchart.v5.9</cx:f>
        <cx:nf>_xlchart.v5.8</cx:nf>
      </cx:numDim>
    </cx:data>
  </cx:chartData>
  <cx:chart>
    <cx:title pos="t" align="ctr" overlay="0">
      <cx:tx>
        <cx:txData>
          <cx:v>WHERE OUR CUSTOMERS LIVE</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WHERE OUR CUSTOMERS LIVE</a:t>
          </a:r>
        </a:p>
      </cx:txPr>
    </cx:title>
    <cx:plotArea>
      <cx:plotAreaRegion>
        <cx:series layoutId="regionMap" uniqueId="{BFE217D2-367D-466A-A1CA-9B36FED86D4B}">
          <cx:tx>
            <cx:txData>
              <cx:f>_xlchart.v5.7</cx:f>
              <cx:v>Sum of Quantity</cx:v>
            </cx:txData>
          </cx:tx>
          <cx:spPr>
            <a:solidFill>
              <a:schemeClr val="accent5">
                <a:lumMod val="40000"/>
                <a:lumOff val="60000"/>
              </a:schemeClr>
            </a:solidFill>
            <a:ln>
              <a:solidFill>
                <a:schemeClr val="tx1">
                  <a:lumMod val="85000"/>
                  <a:lumOff val="15000"/>
                </a:schemeClr>
              </a:solidFill>
            </a:ln>
          </cx:spPr>
          <cx:dataId val="0"/>
          <cx:layoutPr>
            <cx:geography cultureLanguage="en-US" cultureRegion="IN" attribution="Powered by Bing">
              <cx:geoCache provider="{E9337A44-BEBE-4D9F-B70C-5C5E7DAFC167}">
                <cx:binary>7H1pb9y4Eu1fCfL5ySOSEpeLOxcYSr25vdvJJPkidOy2RO379utfyXYyabk9Vwam8fAatzPAwO4u
ulqHZFWdKhb/fd/+6z7cbvIPbRTGxb/u298/emWZ/uu334p7bxttipNI3edJkTyWJ/dJ9Fvy+Kju
t7895JtGxe5vWEfGb/feJi+37cf//BtGc7fJWXK/KVUSX1fbvLvZFlVYFn/z3t63PmweIhXbqihz
dV+i3z9am1A9JnmsNh9338O/f7yrwk2+/WAlVVx2Hz9s41KV3V2Xbn//uDMM/vjht/Ffe6XZhxCU
L6sHECb0hBAdYV0X+tMLffwQJrH78raGkDjBgnOOTPLjz15sIpCcrtGTPpuHh3xbFPDFnv7/Sn7n
W8Cz+OO/PoP74VkMT98FIH7/+ClW5fbhw225KbfFxw+qSJ4eVt5ZyfBFP90+PZnfdvH7z79Hv4Bn
NfrNLxCPH+x/e2sXxf+C8B/R5iHJD4AwPyEGozrmxgharJ8whrEgL9gD9M/z6hng6QrtB3gkPwHg
kcSRAXzrbYpy888DbOgnJjMo4YQ9L2HYA3aWMMYnhCOdc0x3EZ6u0X6ER/ITEB5JHBnCF5v0APgS
DjswwwbC6Blf2IjH+GIuDN3kgPyvK3iqPvvR3ZGegO3O548M2T9CsHkPhwCXnXDd4JhTIp5ebA+4
AD6jI2zfodF+eMcDTEB4LHJkIJ9vHrb5ITCmJ4JiYmJm7vexwBDrlBjcQGJ3AU/XaD/GI/kJEI8k
jgxhext+uEjAkz+AFUYnzDTAn0L8jYVsnGDdILCQRyv5XUrtx/n1EBOgfi10ZGj/EaYqPgDUYJCp
ICZFpvEMNR/t2RAzMXiZ4JbtrufpGu3HeSQ/AeSRxJEh/DUJk39+KQ/4MmYMHtUIWAyLnBkMITqK
laYqsh/WHekJoO58/sggPU/icptvuwPASgFWAJboL3HSKz8anVCTQiQ19rXeo9N+hF+NMAHlVzJH
hrSsykMYYiJOTIQJLN43dmdYxKZpUATx1O7uPFmh/Rjvik8AeFfgyNAFMnNTgztdHGAh8xMEDjXC
7C3CQz+hXBcwCUaEx7uU2o/y6yEmIP1a6MjQvt3c5xAhx+VhzLHJwOEyANL9ITI6AWMN/2DRD6/R
sn6fbvtR3zPGBNj3SB0Z7lYSVsXmAEscsg7DAgYf+zlk3sNp6jonVBjgo/3KeU3XaD/SI/kJKI8k
jg5hSLIMCB+EuwZXWx8CZkLY/lAKuGsEK99kCIKsXZzfp9dbaO8ZZRLme+SODPnbJNzEh9nPsYkM
PnjiTy/Yr8d8tm4Ibupj8z1do/1oj+Qn4DySODKEZ+EHO8kh7XiADZyfMCyoiV9obQHM5i7IkHwU
AqaBSX9Mgl+X97tU24/26yEmAP5a6MgwP9/m95Amt/7xQgJ2QnQqKKcv/OeYFAOS2+BIMMT2emnT
9dqP9kh+AtQjiSPDeQ7VFgfZvekJI4iaJlSGPL9GC3sgP7kJ/9DIM5uu0X6ER/ITEB5JHBnCi3Ab
xwdYyMCfYN1EYqgW2N2ywRcTHDHIZO36YpM12Q/srvgEXHcFjgzW2008VInkVX8AbCETyQxk6Ii+
6W5DoRCHarARc/I+rfbjvGeMCWDvkToyxJdV9D0JH8p/Hm8oDWKcIsN4vZaNE0hiEB0qD37s4r+6
X+9RaT/Yr0aYAPUrmSMDehWl21xtwn8eaILBm8bcNMgbNULIPDHBaJsIKgGH14gje49m+/F+NcIE
vF/JHBvecXeI0IpCyRAGGw0pyh9rd8dOo4EfF5RC1e6unV5N1OcNhH+VnoLur58/MmTX2/wQrpd5
QthT5up5kQ6rdBdZ8USXIYKhTOzX/XqqPvuR3ZGegOzO548MWXA3PkhAd5M/qIPET2B4gbhGHMru
n17jLDRiUO5p6IKNasHer9h+sN8YZwLsb0ge2QRYw6GPQyQt4aAFJCyxYZhv7NrihMJ7kJUer+2p
Cu3He/f7TIB5V+DI0IWiikOYZCjRhmqvn9yXGFfxDqdoIK4STB+t6qn67Md2R3oCtDufPzJkzzbB
IWr9wOKCUw24vWzXexKRApmIcjaKmKfqsx/ZHekJyO58/uiQLYrtAdwtiI4NqOHkAk6/7TXFQFlT
eNvgdLQln22mavQWujvyk/DdkTg2hJPiwx+xuw23h7C8xoluYkz4D8s7zkxAvIQNAofkYJkPr1Fs
fPY+5d5AfM8gU2DfI3Zk2D97lXB48xB2GUJlE5LNcPhiv9MFtYCGjnWgyEa79/u02o/5njEmQL5H
6sgQv1FQGFioh0OYa3IiuG4S8hJAv46gIU0JZYPgZI8csXcptR/v10NMgPu10JGhfb7J1QGMN2FD
KsOEI1UvFQbjXR0qh0wIsykTIxZsskL7Ud4Vn4DwrsARopsmBykBZFAvYMCZOf7inu0hwwQ1GMfg
nD+9dimx4bFP1extpHdGmAj2jsyR4f0ZWMfqIIck4XgcB2JMf6sS8KkRBaQ3qD5az+9QaT/O4wEm
wDwWOTKUz7fxQ3J/GP5TnKAhb8HYS6ZqvKwxgdJfRgkZSJRfOe53KbUf6ddDTMD6tdCRoQ0eJ1Qc
yE3+fXOglW1gfTDEb1cMUcGJgaCce89G/m719mO/f5gJ+O8XPLI5cJ7Agv/n89LGcDRDF0Brv0D7
qqYImpcYGI5qIciD7Kz2qQrtR3v3+0xAeVfgyNC92Nabg3SvAFqbYgZW++WYxjiZBfG1juCMhjGu
J5qu0X58R/ITAB5JHBnCl/kG+LN/fgETAoUlUKXN6RunKSFdyU3oIEXHtNl0jfYjPJKfgPBI4sgQ
vgo399vD9AeDvNSA8UsHuH1rmA2FRfjZOo+Ik+l67cd5JD8B55HE0eFcQU/CA6xkcSIIZXAi48UN
G+coIdsBqQ6w1WRUuH0VTtXoLYR35CchvCNxZAiDQ/nBVlv3EIQ31AEiIMWgFnBcOsSg4BPawPEf
VPiuu/UunfbD/HqICUi/FjpCsOdgnO9VcZ/8eOb/RONOBqW9us6gyO/ntrxTKwb8J4RdyORktGEP
j/ynRlP2mbfhfj3MRMhfCx4h7KfJJqsOxX3DIjcwAPz02mOysYBSIyGe/fJRRnOYAe9Q7m38x4NM
RH8sdoTYn1Wq+HD5XRXpIXZ5E7hSTCGwgh1geL3i0KBwATJg0OJkz9p/p2pvo79voIkzYJ/oEc6C
c+hFfAj8n1IjjIGn9rz3v3Ll8FBuBjyrsWflT1bqbeR3h5iI+a7Q8aE9nNqCJt2H6IYBSWsoT4ES
tLfO1qKToUU38Cwj1x12+veo9SbirwaZhvkrsWNDXW3zgwAOZzCpTuBw1vNZaf2VgddP4E0g1aFL
wosB+JU8vZ2s1xuI78pPAXtX4uhwLgLVJdUUb/l9/feBIIfj1JDj/tH/Fwz22I2n0GvShAaxP6KH
5/bst2q6Tm+hPBphEs4jmWNDGurDo0Ns4fzEIIJCH++3mg8+Re7UgJqHEc6TNXoD5V35KRjvShwb
wuUmVkW4qQ7BsTEoGNbhgDx9q1oc8iH6UGzKRkUMcG3FO7R6A+nXY0xB+7XUkSF+t/U2h1jTUD8O
x2kpFBe/kdgGCgZ6EEJt6XC/CrxGzvh0vfbjPZKfgPVI4shwvh0aih4iQwIlKwRjaDj5gvOYW4Us
Jx1aWr3Kck7XaD/CI/kJCI8kjgzhOyglhXuPprph/49u8rmroCtidJDO41D0yuF0KMy0pw1lH/ED
UQNCHI+8xffotH8uvhphwmx8JXNk8/Fr9f0QvuJQIoegVwMcF3x6vTpzBh2M4bwZh1bVu77iVH32
I7wjPQHdnc//f4Ds36u484WHu7r++PFs92Rr3nvLGpzphpbTFCrg9q9bKG6lCGIDwP2Z0fvxt59j
Pegf/PNmuOc4f59O+1H9VXbnOz5/xb9/KIe5Re3tffnnVXX2ptzMni65++WStb9/9+nrw918I9GX
qrI9D+xnF6vVw+8foRqVmPqwbf68P28Y6HVN2g9kdoW2cLfX7x+frssTwxYN9TImVD4Nl+Y12+e3
hrNGJsMEzoCToTEixHkx3EXi/f4RSAAoiDUE3BjBIf3OgMQrkurlHcjYPlF/Anr16AT9vILwKgk7
N4l/PpOXnz/EVXSVqLgshnE/fkifPzZoa0JLdAPBxiEgMQBjQQ4B3r/f3AwHzOEJ/J8syYySe753
lVW+yZdZ0GhKmuwSYeXlqXQ1R+tnQZo0NJdV2uvCLhQzHLsr2zKfcz1C5W1DkSseG14scy0mziYN
Il+fNU0camv40oVzijy/QzO31zT3yghiFXkyM7y0tlCF26qVvdmHygoL4ShPspgR16o7SkurKong
ncy7ivXSz1XmLVlTFZkMfVOTpGW5uczcXPhWHBWxpFkT5peuEVaZrEjXsJnL9YTKgFNb78tK25pK
lItf7wXceaj3SdrlyvVernb8+eN/7pII/nu6KPCvXw43Q/7102KbDEu3GH9omPo/P/XXZYPDVPt5
8+BoAj9fL/nG7P7bN9819YfLLt6e+hZcy/DEdEIb4NcrYJD9sQJgmptDLS+BWQZuM4c5+HMFQEoa
DBs0gITuNAzYkJ8rAPoAI5iQWMBBTQbFhEN4/LIE4KAPNP81oaSBmlAhzOCOpB/PYgctWPl7lgDW
hzm+swaYYE99KDl0q4QDJMMa+WUNiIj1Iq7N+jKsFfYcK88S/TRskXEa94nvWz6NPnW+iyVrtTMe
Y2L7ZlTLxqe2F2u6RKV/17rlOuDtba23Z52DfJl6VMiq4b3sVX8qVPm5iboLFpGVqagkoZPIjBeX
adue0rSiVhtlK9WHjYyKQjaOK6TDRLvICXkk3C2tpshiqaugs1JF8CwPtEz23JhXvs8tI9QrKQrv
a0cdTxah0c1E2UW2nqd3Bq0qaVQatszAtQisYatrSmm4WW3lsfNnKJBdYtpZeVHYpmq+0yqQvpNF
NrSOus98pqyaqi80awsJt2msSMutKlNMagn+Ql1jwVnaW05D5h7PYU0W0RLT2rTrhC+LNorszqhz
qer2e5c436OyvdQTL5NmUH5VulBWZASLIGhX3HPjOWqb3M5rLZHcTR9c3TDtFsVf0sT0JfFqYjtV
uaUO7i+KoNuo1HTWlamYlZs4kp5LZ1rM0Q0uWG4bieNZCi5okknRikXTBGtkZvVXLuqcyAr24Xni
11ZvMDUzHJbMw47oVmi2/Yx7ni5d0SeywnFx3um8tYOohv0uUanthFpnlTCbZV4E3kxTST7rdOXM
Yr1Qa6Un4YKLprzFZt1/bvrasxM9dGRQhPp5RyM275sg+JrkNT5VjNEvdRFFN0WOsiuPYrXiKG/P
MuEQu+7C5BTTLK+kZhj+mdPEqTPTkvasyvsQyz7Sne8tVxq3G1PLVjHWr4NEoJnnNeknvYMHv3CA
Z/6m+cJ9NHhYzSKBsWzKrpoFnFtdhDNZ+Gkl676EeZOrNSrwedn18NSbWda4Z0WcfdWLQlhaVl3k
XtwsHads50yvW9hhEzFnpldLo00vjBKX8yzSLZ/l5SxDYu041JVBqLCMSU9sWovY7o0A2QniymZR
p8+TinjpDKtbRuJ0gRQNzhO4e3YdVG79WUScryhEVtLTdGeh8bi3Ci1/bLGjLaPUt1veqdP/beZP
fowOzsXfbeZD1/492/hAPb84MrCNM6gegebr0LWGGAQ25F+2cejwqnM4mgcOBcyhv7ZxAR0VwPGB
XKQwn6qT/trG+cnQzx/6WwkY9N3bOHu9jTPoHG/AOV5QAbrNjlyZFjbNQKOOcRn0KetWPU0i8r32
SOlcYmqRKDrXfA0vucNCS6u8285wDRlQI7VjXMEu7lAlmzALZpUoDbswI32pN4Fv85bkVlUnG9T1
rgXbzabPitaOiFfYeUHXYeRmVub4V34mPqeuU87SqDBkzQs1412vL5WghR1UyJGCBmA3tKieeXkZ
2h4t11WcComY+rNG9FqReEHDKLeS1o7rfqGyspG1Huky8JPr3m0+JzRZFUZhShUm1MKl5loiKxyp
8n4j/Pya0kyHpoqYShHiK6yX4Xll9MmcB2ZsYydM4Pbp7JE47qbyq9KKNDYru23TYtPuzGxWa8S1
wyg+b7HxZxq7qSx4ky6NIo6snDSpFaTIkyTROBgfkVuobtekV/4M5/224s68Suo1Es0CsXYOlTCL
ghSzPE9s7KPaKsM0sPKabEuBraBxeil0iXtyFnf9sjcbJivXyaXHSquO1B2vwtgOw3QZBe6sTfy7
UGh2WcbXaa6vPa2ynEi5sPVH1zVAWkWGN9NblceLUkN8zml6iszoe1x4oaWYc6bX4iyuVQzW0onp
KSc4v0atnjrf/Dx08awgiRtfa33ZpYsIxZ109UD/0vW+SCStg3tsknnr5Y1UuLoHYzuHdueu1XB4
W1XNNjNQYflgamRUt8uy8y6M2OEzrWm7eVZ6j40GLrTPu69UF3dl316jGn0jeXqqJ/1XVfvComZB
Zsw1HhRuTxvd7b6FXhZIVabMMkhs8TqvpalnS9/Mrx0RLlnOtbOKZXedgq+VDl6v6/JLpy2Uxb3+
0TBNu/LKAIwtFbOSdvqyZ4/IT4yZQuXnugw9O0oNbIccXwSuIAtTU6e50y/aFJl2DibP0hLv3g2y
3gqrrp/zxk8tv3MXWCu+qiZZJrBsrJjHreSdJ1NW9LPSjVOJaLBqG8OxwCe46hztS17q4OgQZPvY
/2Q6njvjcJ2PLJxOwmq2Mc+XIQuYRcvkNDaLRnpRCn4GN6VHg8fCKy/TyNjUhXNGw96XQedfQHS0
TsErkDQR67gJmcSE1JYPJj/3IJDwy7pZZG3kyNIjSGIBtxsE/GvPklkUmiu9cL+SgKS3vUY9qXm8
lSE2PzHNu22xJnXRfMk8Q61ST6z6Nls7Lk/XTlJ8oa2zgKDqVqN05RF+qYni2tPpNjX6iyjKl0EC
c7OnYEVTFFd2jd2buk4WgZ4s3Uotct8Ts6AVsYTVQ78VdbHysF/dOLz2pIrDedQ2a1oWwex/pu3J
tBlQ7PS2abt9yl2+Nm2D1E/TBvdhG0PvAA73ihhA6v9i2ggEL4RwuK4Vbp8AC/eXaeNDK5GhGxCQ
NAQuEIMBf0QocIkJIxjGMii009Xh+rh3RCjQFH8nQhkqOoAKEAbUd8DJKg6MwW6EEsQp7Jy6r19C
W5Pcm5u8zy3oeFHd5341q42glXrkBEvNKWPLR+KzU8JUcnIvs6FH2fcyCm9Z1AgJoZENGRNdOqn6
Xmn6qqizs0Dzh00096XKatuhdTkPCPrWsNZdFLgp1lGWrbIaQodeXZJSW0WeOAfvW6Ic3MLK8TOI
1cFVZgVfxmAJ+kazGSntsqGJlWj9VUArxwpVc4NJ+VUopkEgEl93gYZkkmp3mqdyy6n9QmZKzV0H
DKr/JVTdt8aFoMY3ffCNfV3mWWGhyFxHehbO/D5edEmCz/XUuPRUb0gdGeveTC/quFrzwnlIRbNW
4PrijgbXRguxjhs7540Bbq6Lta9Nbs4KoM03eZd0sgm43Rf5Z4X1B5f5nmxSklk0DD+1THuozBq+
SCiWQcDPu9D1Zgi+g6MH56pPN4WfFPPaCdSs6crI8nBmLmLTWTktBDk5h8gxdS6LqvkWwc4mA4bP
Wp4tSiNIpIiiGNwENOeFu8gc8zLAKZFm0y+rBkGU1ovPPhXzqjHPm9pb6CWvrYL713GkG1Ydt2e8
6M+aggPX4qRflGcSq8aZLzMRfM6KjskgKL+YfbNuIIaQZRE9Jjw/x4i4Z17gXgjP8Oy4pLOmAE8A
lXhZOCKXRebe4TBf6akHVoSV4rShFfjo1HuIXXbrOt2iCpp2FiXRaZdgBGGAtm2NdN3TeE798k/4
3TJOzFwaNeezBKtCen55FRd+eCba6I6eJSgIpWCRTWE92R5xPJtVxWOEwLSxfEHrzLOg54A7hw+e
oyqbpUkVST2oa1lrxS2q84VvBl+NDi2EW7ky5ea68JmwyiQx7DiOrivfA6tbBHOj7EOrd+pZ57FU
QkEGt4I+P09FWEg/Al8Nd2SB3WQdmMY8FFUvA5FfG0Fz6nulb3l5d5ELePaGsy57s5QaV6y7r9wk
/9OLS2J7LkQpYIBidoNTaGbgSp5H2rWeiuym6NwoXKBWzUuizwPNoxBPOo+B224dU+iWl4RWrGfs
lMXt54Lm38sALHiaJNfMFQvNC65RGq44j0wLzknbacssn7DaVqEOoahZXiASGvDl0lnG2MCG+cuk
bI2Z5xgNuH+st3yILYEviOwyaeeEdpuWYjtr228cPBNddJ8AaE9yX1t1SjuLM2/hBdoqHhyeAFmu
H9pCc5Z+1M0DHruy5ansjP6UpOWfKMttz+xcG0ftvI64K4nyz5jKAqsMsBQtWzSCyiiNAJDPZe4v
uraaV7wB165aKc2B0DBmdhcVtqfEl8j3AwhAvbM6BT6iz5SYtxGtZB/ES5HpF6QU90VjwCLorK5l
6SwwhE3S7tyo/FWTk1RGWM/XuGkAW1M6WrWsivy+yutLv+V24Rt3unIjKbr8rA8YlYYZz4wAVqHO
gYxskZijQL81K2eb0QJmZx2tSuFyq2D1ErmshQDYXBokunL0vl57qZK+MrnkqrY8ozpvWLxutTiW
URBahsu/hqSSJeXLKjaAvtQXglVXitZ/6jhdOUY7p7XOZoEfwv7XxppMaXJDIPCwVJ9fGrorO9df
DqxOquoLh/Z3WQKEES6vHVyd5hn4PJlZy1Z0dt/jOaX5jGholSRFbRdJ3MMuTObCLNd6DE5bbNSW
6DSZpfr30CmwLHH1jSgeWg04tSvE3KvB301d9xr1/AwYV+BFek3Nad+c6jSwWNJ44Pq7/izSlFgR
16wWwmuvSKjNg7C7Avb7keB+HkepXdByVoBjOlcqi61GKy+7Mr0qGf/UqsqzItOsgOwyxaz1cfgl
IE5nu2n96BfV2mv1z2EVr/wyOfNEUcsqVzdVj22s8kfT7WZVhdILr23nmd9/ChDupVkHn2EHnhWx
eZ1rQKq5uvgKnvafbdaum8iDAKaKGNBe3CqRt8ZAgXmteek27tooS9jGjW7lZMIHZ8zJOmNJiyL4
XIdaE9hIi9EcwoHG4i2fhbpaYTMAYq+JgB5JvAejJpXd1RCqAXmzEX1/ifKIzMBdcG0Xo3mbg5/q
kOyRlXVgiTI4LxWD7bJrY9tL1J+Jj6+SCN8AIQ5BXmLI1ivuIay1S12cMq27LGi76jHsXzlDlYzN
+FPbaZ/TNrkDTiWQTUzsNFQIPO/msg5obxk9v+3jlNghBHfXeemrmRkyf2nEuiOpU0etFSFSe+tf
/Kl9DCoc2R8RqHArH7TQAjoWDn5Dg55d96TIoBC5E0RcottIfjHn9VVm9TKyxObupjhPTtUsscql
OjMXje0tk7l3arpL/9z7HxH/nIMaGOu3HdynS2Nf+7eD0E//ForMoC4JWmoMlDqmAOAv1I0O/itQ
4IIBGTOcEvyRg4JiJsg4Q5uGv8j5H/4tnPIXJtzWBT1uCbRtEcZ7/FvIA7yaQEDoUzi9Bg2RoZRh
0O9XBr5O28KMXY9cFq2hW31br5rOyGzkEyJzms0TgiuZl92fDNgCu3CN+5zws1J0gW3qTjT3W8dY
lLm3LptEl7EeA9Wj55L3aWW3RX3R5sDAGCIHPy6pvnci/uopd9ZF4U1g+Iu4K08xwTdZmvrSzzqg
0lNcyBzhszgKTEiCsU9FIBIrFFG57BvnE6QF/jRdD6jlpG8t2kaXpksuUUNnIktOWZitArMnq752
gDkKMLdqr124QT/DPH00Uu+malzzNHadBeSbvnPVAXnff26LCDxEHGFJcBBIakQxmDjH0tuksljq
fW5Q9S1oa8PyAm+JqySWKTDdMvIIuHc1+P4qJRdBlJ2GgUFkk+ePWe0h2WpJafUhv1RRnlqNm136
Zp2etlEZzCvluEDFJoEMvBy4JN11Lgqa6LYHvhCFLF3/yHEdXNQGu+8VPNzUibxr7HS69Ip868Fe
de4n4coUGpYOTruFFxf8slBtNGOQqpN55YEBdEvXCiCulb4be7L2EV1ARsCVNK/BqrbMvdZdghZ9
6rsyc1UooxhcKdI0wK1ExJ3pXegvCWlDoNsVXvhe2EM8YkhCWxOmQJIsI8dBNmrB0oZGoeYG8Dpz
oyHhLI9KvCgTEs1i4p+hOFv3pX8ZxGhVdm5vq4g/Or1Ppc8iY6YVithd1fkz5LBuATR0ONN9j8OD
QN2M5ZlYlD6w2n6bgwXEYKIiN09tXSF1EzeML6rU9GZwct5f6rrj2HUdElkQol2HcHZLRj1806yl
VCqq0zl3tRLYlIbLLnHTmRZVCHz2QJ2aRdEsXOzddbi4qio9nnkapEGTMoVrYyA/pDxqyi4Txmkq
CiJd1CnZ9cMjUjj+1hSm/yn2wDIUnoiXXRU7ErduIoH3QpcmJFqkl/bAGcJzlyQHV4k3TEmvMZoK
HHH1EESQ3tF95sxqN9KWeunPKzOcOU4sZBNR8LVEnEugiCPJDR+yE37D7TyNQovWPr3uUXvtt9UN
baJgVgDzB6ldHF4EkFBcmkH2WMb99xLV3rxMwa6FIszPFWqJRVpqh3lGV7RrgObRWL3gTmzcYK36
rERSarZeVsC9eLhFCDi39L4BrVivBdLx/BCoSi9baKq7Q1oD5hfSQRZwfqcxsKGQje4QOHXVCnhw
8HRY3wMb6c5UHGunmgEcLSGf6sIvrcL17qLMP2V+fNWwwtI0dl6Y3xyG11VC6y9dEG4bWp61hqbJ
OEfADzdVc1YVDBxVUUIUnatAuoF+huGveam3rmvjMQs4tlAfnuuNjmQt2OcevDKp/J4PgdlDwQpX
OlG0SvzuGo54nQHNHFnJkPGKIw7ckULg7dUepMO6pJU1JI5kDh+PC5xarCDmvOsAQpRFl5Xm3oat
801Pqq+pAdsD19PaZkG+Vg3atAGlsyIYEuxF4s5RhSDrQmQWGPkMYnDIcfYokmFRnwPx+2cFpxBs
phlX4M5zmUQsXkFeFj5Z6r6sgrC20jJZV76+DHkdW7XhzH09yS4hyd5JP4SwXWuFXbZwM51DgYas
le14mH4NnCoyZ0ncnse4vE8Mtoor80voROZKRQgS/f33FqI8yNK1S/jS4dzD4ApHqLdDyi6gmGDh
iUSTOG+sQECysE7QUsvosmsy4BeVLzXVXENZxFmIC2I5KvxecrFkMblAbrrQjGzhNp4NmFptiOBn
c+NxpaxCVY9Q3nAVZk05q5NuVQ6ccjXkC4zg2okcDWxBZYWkW3tleB0BHY2UdxcCPe3ReMkGvroC
4jpUULmAge6NnYLJCMhth6MzFVpcL1pZAPlNsL51KvC5wY5p3QKoiIJfqSF2cGl8o6s8/x/59+wb
DUUzb/tGw7nmv+7ueO0kDdI/nCQE93AQaHoyJI+IicxfnKShpQ3cgjZU8htMZ8PhqxcniZjwDhTo
gDcEHeqeklg/SUBywhkkvhiD4n+DURjwHSQglBaPnKThci44R8CgefFQljRUev7qJInW1CA2Jt6F
BpuJbdZROeN9R1a07rJvkNPuIllmZZ5L2mmMWeBumJF0mqzwoXoh8Geih5jzIs4xUCRZ6rY6pPP1
+rpteNJtKmSg3LPdNusrLNuw9nEqM8I5aW3yf9k7tyU7ca1LPxE7BAiELhsW65Arc+U57fQN4UMa
EAIkEEjw9D2wf1fbrl3VURH9X+zuvqmLSmeuA0Kac8xvDOK10JCufL2e8Jy4oRwPRnmyekwMxlND
ZAqRdh4jcbqWq3hqezk/U1OKIJMNWR4rP2nrNBCi2isl87U3cjwuVa1SGU3spfNnb0oXiPUvquUQ
4cNIrUtGu9XHfQfqIYNGn9yFzaxeQ+zMr16kUDNw35QQ0GVxi6lgmaQyEfXNilZkytpibcssqeMi
431w6krSZm0ophvisfbC4m5+wJFQ5QNKM4rRUDcfJ6+Isknq5EPQtW5Ft8b7NZ2HKXYpS+oIyosv
2QPmSv2araatj3Jg6+c28DYJiC5jly1ER0Own3gkVAGlaWr6UzKH5hANuCDjrnbe/GrqwffzZoYg
RYU/VV0ueFWscb4G8zpDXbHhuvIjhAf8s0UN5YERs96Pwyw+hLwb7zkb2V5IOMGxSVMcVVZdeDgq
e9d7+DbvOq+cSV6OpG+zsugnjdmCPxW3SR2I10aOwZPjk4RmBspDoIUktTySsDPAORJViJP2B+Gu
WlZT+xbbpHxDW8cOwLCKvayrXqc1D0AKeDhEW29guyapx/eYrqjhVnseZlirSb/dsP9F/P1Xe/md
WfsZg/qZivq/AK/6eesBuYQBw19vWj/zmd/Zzm+s3rff+mWzQn49RgvowcAI/tTRUSSYY2SA3QpA
E+7bPzYrGiB7bXsmCdmg0sDfngb2o6PbspERiI8eDPc0S9Ci/ZPN6ve9KuJwuOARGDGe6B0ileI3
RcCsYa/0NLlLZ0Oez7aAENOHgjVZw+x8H3vRciXc3DU5IQCBTE/n54aODjgK7/S7n769f6NPbI/L
+VWfANRFeMAYODMK4OW3nZN2i2p4Nc2XQHf+BRsjCuKJ9XGVudn0PJ0tnV7ZrIA+Dm1iMM0XQ4N6
bB0ZzRCV1X3hxpBb/I1q2gVS+s9r5CX+YYmj4s1fPN/t//4dBziG/vSOAVPhQRQ4WDbM89e9ntas
wrVdzCV0UVnuYrfK5xkHV7g3bOmjdF4cKk9MtTGHZ/FW/TckPGBeu/jAp3rzpXLj6Ge1p6LdaOp+
Tk1bkTkFL4lipewBfDYTv2pHDogBzDl/GSt9bqSNXF6PXnxTD9XcftdncKf+e9Luz5eB0ZDgqYQs
xtoIv33onzg7tnil9ZQcL50p+EuPPS5IaRNgaahucnfWDfxRFb58//df5rbWfsb7mI9k2QSUCc7M
7T/b2/rpZSPiSqrGsrt0yepf/KaaLt04ZHVSVC9//0q4ff70ShwPD2B4PghQ/W9jvJ9eSXV0WfVQ
9ZdEEfpR236Qh8IkS5A2CmyCnraulSxJDx0/su3/btFsi+LXD4qFgscA0hAKio9kp18/KKCdGgxd
W1+YbqKPrZiij43c3kO0tmMeD1CQF4JLfwDlYgPU/D17M5KPJ8sXeu3icCBZaEXfAOHq2mewCUAd
q2RZ3pQ3o8n1ViipEe/pcIxQE0zfN/q/XB7b06B/f/9s2zYwzAgo7lXsaT9fKBJPURdFhYeRT9F+
rAeDnsj3GoNGKVyWrryyVd18KhOurt2qq33cU1dngT+zrwYNXZ8tVQlSAlTfWz2E7MscqYp958P+
8k3S6E8XGX0tFtGWXoo4jYj9NouNh6QmQ2XCG0G1KoAuGF4BmDAu5HszT1M2OE3u53aJwK1VFdhE
v8MgdVAQJhSwF6nbByWjFoWFtOU7K9r+tIzGpCrS6jkeMYssdFdkE9DTGvBHKGxaiLG7WOWNOGTX
MC9Ln6PHWQtQOcFctccoNvIhEOVduXQhMAYwIRdT6CcTtChQYhAIqV8vAfYGOq1rSmwirmUVJa8F
mehVFaM7WUs388ySiqLvlEt98pIBFaVdknXnAy/crcJ9VqM2jxPKKIxIW8P2xainEy2C4ElXvm0O
BfP8Ol2rpviE6ArQKnWnvQ8Q4NudUmNwggSgTr7m8ks9K+gIKmybx5oXjqWzpiXQk2HKwCEBBaQB
v9W2dTm1g977PvrBXEbMR+NqywQzZ5C6eTuGw25S/LYqvJLsfL83Rxw1gcVcDZJOYph871oC3X/g
6jEKTXSYOCCw/Ri368ckBrk5EifW/dwk5d5zjnwMRmm/jqVSUbYGBl1nVwZzuXdG9Lg5rM2Xcp6S
/QC6dCdN2B47/FOAXRSQUzy3M0vFKISXsQI4E+uBk6bUyCLD5LxrD0Pc5CWdFnJv0YqAxRqITAVW
ktmHxvLx4ELmruNmXWVxP1lt2jZdarl0w5cKnXOwvo7Wcwz8PB+wlfefg6UVBvLfZKZJkYtpTNs4
4MZ6Pcx8MsWpHWpU2hi19I+EeeFJLGE4AazhQFIXTTjg+wqc5a4DrYmpq2yszuMGs/dskMYvbitN
YtYfm4WhY16c5OY6Hk2IFWWL3h9tNuEs3MdeJYrbGbdOXGY6URgH+mEztvtO1gNKVY3Dq8jdXMeZ
V8ATA/WqIB3N+hGiRwat0RZ7ADyyzccCVcEeanC7ZskaYcfsgoaiqK8GT6YzZqrj3Vh7bZv3ZZ18
9aaZ1WRH+sAcappMySXCaLG46kJmWARbgBv1uhxHgt2tyhU02zYvxnnVez6MXb1fZNwuRxCuoI2i
YIELgblokQdYDWovw2UN3nmqXf0dcIsGA+umJd4thA1vxFfede9E2/L2FA7cyLypTPywolYO9wJw
tH+ubAVZKGVVUJlDMcyqe8RhHF6Jcg0gvSq8gxzdUAni2HcrzxKxKHvTgqTaMN9ODbvC9zHuA3wi
d2URlpDnQLCptGYj6pNuFeH6JhukDOwSvIF2hx6w0ief1PRY1qwBINg0OtzVfV3s1qmAlu3ZQfE7
UVhBs7DGGA0TWrF6Z1JIuvdVUUZ4uxzzVX+p1v4EEdGWecNpZdPt36U+r3mH5VMCkHC29tbUuNr7
MODJrxgw1riPgou/dvVap8lMvfBpkTaYLrHiS7/ruDY30dThSCpH1uAXeAv2Zg/Xh9+9ot/rqisN
VR7ooI1WwMimNE9UBNHHyEF9SRMfi3c/dY6F+RiDq0+hmIp2J0PdjFliC2BttX6V1qKyEKWYH8co
tp/UUIXHmdmyyIFBEuDISYG/E8leuH03zP5ldSqk96OJ/CffePgXNvbGbWK4MJfPQSvq4+CCwJ46
Vo7Bbe0x/oLJ/bY4hdDjgcmxGu/cAi9NRrTFtalshzfWj9h0zzjB+EuYEKzuFrvksAMr6/qTgd0l
uBPoQpuHIOk4PTkq7HQDZ81WfFaLu4sAtLq8ty1eGqOGFRpg0Jr1QBq2ffjtrVvsT3hfqvUvGGnj
U0w6wldVNX2DNraZcesoWTb1fTcw3PLDhKqgxM+wpwamq241RndDl4aqIrjcdnDTTetVChozmbTb
u00NyZdZB9umgZspwyfCBuLQf6NONl37UgQhv0rmusY0vIK+m7mljD9iOom34QaxPITGkfFcoswV
5151jXhMcFocxo74F81L/YoHMsU6BY5SB1d9UvLpXFR9Oe+WgWmLAheIhgrwtWaE6eVzI5vozk1o
cY+aLHPzzsZtOWIA4LVfwcxse0itQTaiD0jCvA6WatyruOXvAJG3ezTMpU4ZxTa3DLZ6qHsznnnb
CMwRgiEACiVBeqVzFfCXQXhzmcugw22yekXIT7Trff3WYkNerhIfSyq3246di8jDN+rQw+c4ZKw+
+wMEwAyQpplx0oYzQemtxYeBz/zJW1CmX63cDP4XM3bLCGXTZ/OptgH+lGv9CqNcW8blSeGy2Mxr
eLxf+3k2N25h8hFUh04TNh5p6zA+WW2Mi9MQf1wPSjZ9f9PFjl57htA+r3TXzudysarKkmhsqydU
IuMXwjtsI9g6McFoqtGOKbdzonEKLPpRltqv3/v9GiZzuqICW56VCT2OPzYWQ14xrymvvELZT1VJ
vDmTbATtWYPyvnejB3p0mDTY53qdsEjrwIjwzjVyjS4YHUgJCmEm8Q31K+qyBdXNmNtK4arZpKvL
dFgZ1KJkHGWOmYAbdrMEG3pYE43V31BXghnB9GnMCjXG+p2NFv9JVAPWGk468NeybMe7jnc+NthA
cbFP2iq2qZteg2SyyTZgmdlzFHTawjVRGnpDC4jXD7oYOXwcJVZ0DocNriYah8Vd16Fp+ms2qCq8
CxyRMciunuNzOeeVN83gKbtrxwJ7BqqxydxIqNhoI3lT7scqaaqddYScFk1x38PSBpGeFhW7+dZ4
/J/WSG7qz0M/9l/N7x60X8SW/zyj2tYp/LWc8j0A4WcB5rtyvP3WDzllc2JCKQnC78pvgNbkjwE5
rJggMnHU/+Fe+6H98n+FaFfg7AyhlyDuHIrxDzkl+RcsEtsjxyAJAx6FWeEfyCngPH9rjaAuU8RN
oLcLCJDNzV33c2s0B5iTaI8vt1HMxz3xZJePlIyY2oZJoc8JES5K9Rx5gCuLTt1YOz2SNjpECQwH
44Bera5IdO06KCyQdrt0GukVNBMYnpZw3Ae+4Ze4B8/tZq3uAwrrZ0yNd26XMjoAcXzPV19kXkQ+
d5rCK1Gt922NoXFhe7nz1CzTsGS3a4KJUNdjsysVpJ66t2vqJyXcVnXZwaEZ3DehJ09zizljW0Q5
+qjo6DHn0igsxpPfTF2CUrqLMMhuHmBcfbONfuzn+lq1my+MxN5JOM9dlVyC6jNc3ZIJjGcQPHBQ
bWkBXBABmXZHg2k3uk7uCstvYCKDkh3I1JXzPWnWl3ZSz1zoc12NH4gXHoRq8WZXGwBkF9c0WmBt
AnO5quQLjpMmWxYcapiCnxfW91khrYZ/xMBvFrs9D4rPTRWOaZT0e8DhOfM0hlrqvahbHDPb+L6u
2iHHPvVprVEbbaMdm6gHtOoyIyLUyd34bQbkbeMgVeH1CmLnTKOfgBUsH2CiwLGwB45+gJ3jPG2k
GswWa5KA7mHzuXPRkLEB87lxBILfTaPKaCvg19icG7wEzGcDmDkmOEE2d4emKp83v8e4vBUszoNA
mSyAIQQt9teJlT1mhfCKmM014m/+kQRGkmJY4pTF8JYooe4rmE2SzXWCYgk81eZEGTZPSgdzyhyY
FwGzyrS5VuJY2TSRYr9tp5uvpYLBZYLRxaHzNZvzxbSoDDYvzLy5YpLNH5OMEWbTTWl2bHPPMNmB
H9ocNf3mrak3kw3MNs03180YnwubYGfdHDkG1hyyeXQMzDrMwbUzOq/ebUfSsYDEuLOmadAD0Bqw
IBw/xF/Vzm0uIOAJj2zzBa0gTY4BrEKm6F02dQ1smA5lb63R8oaUnkGG3cd+9dqxsEg71yZ5NMbX
bRwc4ySBbaXkt66DkVJ6QZSxyj+RksA3qXyTRlBBMRR1t73zTkNvBqj9zWeQWmgiwk9qsXeCTm7n
l+0bxlMX1CJtOtjkMtuI5CJJhrQYu/maL+NdqMIvguIEH1V1DOXyyQp+cUH3CPuAAGK3vkptCGT6
qAQoKsRelTARmiJ+HXt9H5TV1nQ2b2Kd9XEJisM6WZYF0otTeIsAP5b1Y1+VFjd1DeJCNe8627/D
fGiBEYZ+HIj40MUgcn3TQ7boCzQkfXgz9cmLGLyzX85XCW9JTlyUx5W6KuDehJwxZXOEub3g3qvR
y4GJ/rofWpliyg63R8neGzTcaVOG/DgrBqM5Oquj9bHw9MjpbdD0ibfT6Au+/Lccnv9px+L2dI6/
Oxb/h4Qb/cvH38/F77/287kIFR+J4njsMf2WQ/DHuQjPBMPEgIQYVuMcxJH041xEJg0MC3iqJrzd
FBMK/OjHuYic2gjWQcBoQM6+OQX/wbmIKvhP5yLmGLBYIHULJyNHGMIv52LiSs2npJpuBVxSV4nk
9Gbo3DnppM6iaXiJ4T/WwjQA0plc36p+1N79tCyQPlbQ7b6T97xSXWqa5d6U9KoHgrXXcgRKsS6Q
yxvfO9RypimgrX3ZzNUJmgzJSlXQFFVzWWV81t2+ZTBfPS6leuXV0qcehrgpQ2MsMoBk9Gp23noV
qc7BXL5sntVJNjvcd97RwM5acvha683huvg9NEO/4aBU4H9VmxM22DyxyXd37KP6ZpdNNues2jy0
8+CBz9h8tf3msJWb1zaIOapo2G+bbz7c0s+izZkbwaKbbF7deXPtznJ1Kewi6LQ3T+9gx4u/uXwN
7L4DbL8L7L8VWXYB7MCElme7+YPN5hSu0SHAxpZkdhqnvNv8xGXhGbBRpvyKciD+AMfcXOx1pKsU
UiFUnGr0j3yYHqomfEwE6aaTiivP3NeAsY4Q+zKA5/FRR5iiPsYGA+a0mgo2pyED1Rf6dhZpVERf
AY3Y05bJecC+3OzWtrtbxHiBgfOqk9VFk+CcGG/fj/bKa+Ndv6IC3zzzYs2iWn2xXfBQG/76/zcP
8i335G83j+8PXPl974B28nNNTb4lG0ZxDEoIHl9Ux3/sHSi3E4CeIbaB6Hu2w4+9Y6upgUtgjMIj
6v9eU/t4OjtBPed/D4v4B3sHnB1/2juAUiAXC4+DxQwVj7P5de+YFztTQ5m9NQ58NjXNu35eHhj6
7Fzy8hZuFPG5r+curZfwKYQOn82hVzwmzH71KrIHDU3TNYQCBjk6J51M0pYBF6yH4tNQwj7hJOCr
eeoeKJflgfC+ONi5uElaUEKVYp+msH6M5/Vd1RoIddJMaaBoBrK8PTZMXYVqbPEXKwQf8G4Pv/8j
XgslDJC5wU6QNyYQbSKZRAZ+4MY0/Bmpg6j/mvKLGJMbOhT3hLrbCtJIz3w0+/NyH1SE7GkSzqmg
850L4ISEDRaVXQA0s91KT6RcrKvOQg1bBaEBHNHKP/oVhBNuUN02tUnyaVFhHjbFIW7kgLFuy4+F
ok/QQDGX5LspDPNJjSTVQ1RndQsrtg+1EWJTAjp/fYn4l7YvdkPgbiC7XrHZvJ8IdmMF8yy4iRrY
/1JIVBpTlUZueZshTM0+27PQYzAMVy+l35YpT7xMJlKndGjTsl6PImC3tmYXRssM9pwX8BCfpmk5
s745eM26gxE906N/ggx6D9NPl5ZR/JDgGypqYJBeP0CAlpeB8oe4Jp8at5LUEe7DcOvDp8zscxvQ
V5HwS6CYRYnZ0b2afAgnjp19kTx5EhbdeCUv8PKiqOnEeQ2LZ+WGi5o81LgoJUcp36hXfXCz96TC
6dpV7sFA20Ff837yxGfJRZRGEdwXgypZuso+yQPYtdmyPJIJ02lN+Q0u07UVbKcHsSvoV19FORS4
LrXTulesH3cB3ao3cYxFAndLyQ6rwHE0dP2HsIuB0IxL1i3uI50s1pevNRDWrkkxCL8GTvOlwIrk
Q9iih+oPvoyvpng59rH5MntUpEEVPkVwq5V17aWggu58giwRv5ndDrR4lQ7eInZeNYFoDRMFDy3c
GQZf0tp52MQr9AgUjgcTq5yr9riQduD5iEbgqihteQHSDAgatespxD332po67TGjOFbQL9PV0Ode
L9X9Ygd+KhrZpj0b3YHORZ2SyVLok77Il6mCOd5TXyNhDb+2PjTK+6IqxJJjNKLX5znqAWhGs0tG
jqOroY9dEcKX7pXhS01Fn1MfvTOP1rRY4MnoEEECbQwWaSGgvvMDJPpxBxAIgz87yKsajGXezoWf
Kxu+9nMEB+SK201WWNKdNXFaOQybwdFnHoxYmF66x0S5OO2r6tZV65fAOLQXZbKDX2ZP0BlPTevn
q/MRKBInFQibci8ZuzhKU6PqbCXJuzrqkLaCNgnZTfvYmFOdAJTHeS1dfyfraa9mkMWrN0JvHVXq
zeaKVl15kY0DZhE/4tv1D8CHL6MY7pyennnDj0NIOzBD9tMY05e+D9+3hMk0KHQmJEhfrdd1H9v6
JaocerG1haAYQn8uZp6C8gCJWclrYtcD/i+4ylqAHzPRq/Iw5wu0lw9hA3lWPyvBXpSub+RAPw0j
prakZbcxbIbxBLyc6ipMQ239dDGll5HC/4QB3UMSdNe4eDrlYrWo1thzO8+QhmVossgmVa4TUBKr
R3d4mhWSohq96w1upgW3HlvxOavgNJbwD9aVeRATdoHAvwIrc0aezHUTSXTQnJlUWjjB4ZPhMLOh
M5lYInYU2GleNObNq1ZExnAt9mbidaowbusK7uUznPHHoIOiWxYfvaWFuXJ99pYwSIGjf/ZmLR4X
xPxkg7VHNVJYxBbe7FipP8OsUKfeQFTWt91zncTwlanP9Yr8gzIg7ZPrhqPXBc8smFronbgakhX7
ZWrIDgY+bBv2xFpVwLQ7oS/H6aDMZx5YlKatxFobW8gYqSSlN1wNxEc9S2QJ19smIY0Fxg8fgnY0
/01a5H9aO4Xa5m9J0xvYzP9NPfQzXwqIFP4W4FrBVt5s6OmPemgL+wNxCiXKR3rwN/T0Rz0EIRGZ
WYTh2T1gWMjPJnP0UuitwAghKf67/PiP6qENXPgZHwFFhvxIQDdgVWHm+h1sGFdSL1M0xZcy7FYk
EMUEU6AeTD3deZDOwA2sxRTMqQd2Uu4Sg8wkRCO16AKmWixpZSICsWiqSWvSoMRrlNlIFo/mMGNS
wXNI6xAewxXQvkMGkZgAP0ytp3YrKanXAjD1uEK4yYDdk89R7O4nwQCkVx5AdRYNXja57h1A8DrD
nPloum+S12yge5I5HWrUAVPpjftiIk+iC9AIxhLCEU7JhTx0Sz2koAiwcxXqrPr23Oni2rfuZRnh
5XSsL3BHt/BvnJDngtF4qQKYNEQNYA2gqXQMuR8JDo6pWMt0duu7lnGcfjMMDBA4vQlarHIIviAY
nu5sm1xhJPolABayq6f5vXFRmPqlPLc1iXZtv9zBpbnsbTzHWTxxRJnM2mQhWxE0ZWK5Iws8nEs0
RKD3g5xE07LDrqWRNjJ/8aiDDIXkkwm4BGBX/4tzqkcwzQj4Xh/rSEvY/OS1SOANgNz4MkVLmwlt
r8epgQhTzwEg3PARtoe9ZlOwL5oCQTAgDYqhUCcKb3jqaH8RQf+gtc0Kps413IWVg0sSQyKk1WB2
NslPFEchkjbmHezN6YyWVlbUy2ZVXtGihXCZxADg1zDFCSfSQfbNPlmYt/dCgxHj6sM5OohrCHYH
vyzfTV0nMqRX1YdwCeudF5d3SPfDtASeWJzhV/OENlCT4V3ZL1iJTXReFv/RlC6PQSvDkOMfm048
lFDI6ijcYUA6QX5c67zAOD9VFD7moUEiGHH8jkQ9yxMdvvXSH4++6scs6vpL5HfmUIWAFsLmGVD3
Sys0Igr0LeahcFlw2JopSrRsEzSFbF8sS3aL3Lrc8JWoCcKpiA6zlY+uiUAda6hlRQWZGFPRbBnF
jIUeVGelBtAEHMpmZe27DmEPsCyYd66wLz4dn+jYoJ4d1kNX8VsxRpknEpiVzSfHii4dOwvigjVq
p7ccrcTHzN9Mj4VYm7QX/pT3S3kqR1oetdEPU7y+onz4oCMEwrh6ETg+a52LmfoZJdPzXJMYxRut
d2AhrzyvvwK997FbITWSUgdZ0PuPPIr39UCfUNAfvLC/s6TGNK0OHwHKJ7ukIi2M596lrOhNzZSX
hU29d7V8V1PWHTp/+diWqwM+Uh6neaBbzArPOq+Bs62V/R5pPq+iQzrDMtbwJ7k1OXMAcjvukwN6
heEa6gdGtgyLNJA036I20tizezkut75P3wYJRaMf9EUxhuqwqK6GFp6v2HdvTc0foJGyNIYIn/rS
Lem4Ll/t3Ar0QujB0OvQLEhYkqnR+AfJ7CbuT49x0WDpkBD5CT68Jb2ql0wDugRZVh1h3v8YV6ZD
mk7X5S7mN1Okb3yPvjUgwHa9k3C7NQsWFPCo1SNfB0vPZV8fEZEB0RgxQzEIDRY2NlPOPxNYufcJ
yHC0c/EDRerSqTToblaxZegE4sZvkLKwVofFiDPIynsxFOdWilNl9GNRwUvl+Ljr7HCNcL3b2FNP
CmmeGy6nUwID1JljX8TeCKsgnGg56yd7EE3/ruvho2cWdYiEjB8VFkOJEnmb9Wxf+IhWdOoRbDh3
Cn+8bl4d2l/cjm7fwIyWtknYZxwkwr5ZqneBfbMbKQbaps67hZ6ruH11C75Rn0+P0pogL+Yes3Tk
M4Sj9wJY+K0qDWqzhhE00FsQT4+yhX5YB/J19rEYVBc/qQEXzCJVchdJM2KL6DTS5djdLEBQhYWf
bjBpKuUM4Kd5wEfdoSm+XVtK9xHVSVbOMCSukl2Dbt0oRnKa+qZGXkniTtRGj4Eq3leMY1gt67fW
QoJGaoJLfbt2x7GZn8MOpH/MgG+BS535+P8k1b5ZjL9F8v6v6NuN6vzrWez1x+bt3//OH4rzFsUD
2QfTPYpB56bK/KiSgvBfcBpjChoCHoRyhB/9qJLwdCQULqiSGH74q+Kc4MF3DBqTz6ArkY2U/ydV
0pZy92uVxGDk4UDlCabIOMy3n//E+PIQ+AvRHcJaZlmevbLVxaNzDZRMhDc2BwvRK102DQLRVTuM
T+SJDpGFGO1Fx6YA69kuQYv5LFpjDIMSsndwm6YUd08atv51EnWwZQjctE3ZXXkQBG7Y5r5xkuyB
ucCMDNMuX5O3CBQI5BZb7oqCrm0WVyVGgfYsECDlfUuS2jKlDMKlgi1lSm55U+OWPGV9cZBgZ9ZQ
HSyiqfSWUUW2tCpYNTG+RYCVASfNR/7GigmRdMntqpMTNsrHOvEOHgKwvC0Jqyv6s0Y01rBlZCHy
7b2ExzdBeFYbRM9A82DkSaAIULh3Hn1EbQUE2aGJygUpXkNEcU1wjaQAi5CMueV0jVtiFw6NFEAY
9I9BbfQkP+st36sZgjPiMy9aBiJlorzRiAIbEAlm1u6r2TLCIE5hdmctsEIF9wpyxFqgoBHoXNQX
Kd+SxvjagWRD+BhTSCEL2XK1IpYsGTZBATllSHs5TVtymd4yzDgmqf2Waqa2fDOBwXhg9StOsQPC
vfosCod1Xy7gv0pVfR63nLRFITEN590hRoSa3LLUWqBw3ZauZrecta0QU0VF83D4CkmFHOMGmWxF
iYA3CFG7hPlfvS23DfOZW70lua1bptvM9FOypbx5XB4bxL5JyHkIMEXkJkKJxJYMF23qjdvS4lAz
XiWIj2NbjpzYEuXA8Lxilo+4BfrBkfVeJ97TPPivVhU4FRBKB8/zsu9tw3M1ikvLlmOzJdgNdMuy
Q6id29LtPD/ClFeVe4Hgu2VLwANGsWeIxAMLhp+LQQ17zCnGTzP6nmsXRZgvthPyo0zig1zE7Jse
8PnjY7v4rkuLqJ44YmAGRBSZhHlwsGM32KEl6XiOM1wi7RDfOChChN8VZtdgC9pzD+1JWjQYOHeq
qo7LTG5X3Az3SyLYofESe6+2GbSzwVUYijCjiNANNX5nrZV3K0pU6cyRHnwWhIMh0iHgCX8hORRH
d2qZB+VN9/VVkrj1wObI5n1dm3SpbJmSed5b035OSHmLJKz/yd6Z9EZupV36rxR6T4PzsOhFM8iY
JIVC87AhlCmZMy/n6df3c2U7nWmX/cFAbxrwooBalEopicF73/Oe8xzh85K6MgaWC4heN0sH8KMr
slNjM0no2tPkWstdi2/qpYJggPiBI8nQ2OxGbR260FVhGhh5WGGSRYHu0ZjAPhkEornsuzw3OrlS
p1LxTkxkVjjRQsLbng8S5CrXR9yYle4P5Az8obDhJ6bdl3ZQdprBxDIa7YHVrMGN0T0qND8fGTrc
QNQZ/Du3al91pzF9q3KnkA0TFJy06f0qcQpy8G29JZ1R4qtY1a+Npj/jbY22HjngcGIPvavWmbdS
Xlg7UYKy6kAs7Ma8EdxT5N83skt/BZPUgEvCgXlCack20zocM4BKycRPrSrWVgO1hItzl0r2kvik
MIFjAh3tbmZJaDLcgb8QzJMaeFMvKU4lOKfESs3g8wYhQD25kvk01eouBQKlAoMagEKtOepOUTAE
YmIMsX9ddZIgtQzoVClQqaiu9zaQKe4OSWCxrgyIMPKBhUSlX7lzeV9+8qmS8VxJYpUwUw/EFRSr
GAHSAmu1gLeawFxxg/iYJfeqAIDVSxJWrM079pN3/26WPjdLKuamv74h/J+iTqv/ckeQX/XbHQG5
hKpjlke8EpBUZBz32x2BpZOUWMDxfUbc2Ef9dkcAN8vZYahYvKjGlJasb1tp9ye2HDKoS5qRhlRu
Fv/gjkBX3x/vCCyUuIwbiCn8OzXofz/cEeLWmbLMcItrRWte4pSQ7Mq4rC3WodBAvmUM0107hI4F
1GxkTADI5i3NaXK5+UcTIPAybT7FDMg/zOexpW5VBvZJTu4ud3hsJsul2keBrQi8F6A8UznrFwz9
iZz+RwWYZt69lTaIjUEz3yMe6U2tkIqNrfliRkQAR4uniXhuwH4/tJfR8jWpObBmKIK2tOYAu2S/
caQ2YS6qDVoNvaJCuNAXywp0pIxBahoYJp8NqXLgY30Xqn0kF8VwKpWQeEQTKXntWgn+swq5ZPW0
p1HqJ5lUUpJEmRA0UVcyqbOsUnEppfbiRBCm+i1uq8hvcJL6OjLNmsRXPZCtGvkm4WdiM8AlqcT6
NaV5MMZxGeaIPpGm30dL0bPhHkqfixzJtw6NqOaE8Lmb7UtjSTeRWz+5UlGy1YWXycYamzS+6/Ws
fsW+/bis5nTRSzq7wehRaBN2maZ9RQQ7pFW+K+uJN+dgcQ5MbPsHI9L9JHKvklh/NBp4HEM6XSu2
aYd5PqyBbq1xuHrYo+PWkxeo4dZQkncLBPwOq/hGwwB+Iey3fn7DJb81a/utWwyxG1pYJkMXo6RM
pXj0tKS6K1RAkB9pvL5Pc3K7GiqL96EWjKpt4rpv4ChOEc/3Qe0rdT/3urjW28i7NsuoOy5exO2C
nf3k2Pu+5dapJmoKvcxbTka24kxNRTntCNk8TdUUOGmZXBmz+MB4q+9VEXvwDFlIrP9OQr/4S62/
nYReRPFf9GL5Nb+95WRtAhMGRGtPAzJqff+W03/CDqoiGDu2Kp2hP7zlWGbDKcXcrlHvgWPmN+8N
bzlmExuCqIdoDOz0n7zloB/88S1HVtg2yb3g9OH27/3hLde3E7OGns3XdQ8Yo3bx60XtPZGzZJPp
Sx+sWiXu01ErrnViTHfdELHNUDXAfGuk8dTPIPZFhHxrGieD5G5IggVHuJN9GJAKNj0Dw0XSjF8I
B9X3YpHb56aYz14c1xvImc7GGyKBXjZeterATbLygpGI+jXGwManfSS+hduH3ZDilTBmQRd0mvZA
lKfYF8D5dhlX9NoaDsbi3sfN0G5JX+hEuOr0uoBetGFN8qqwYtl7k/tYrXr60JiTuEr0pdr2K69F
RKx5o/EruE41yNez2nt7KH0SLsdKvf90r0kfG/qwt68rgvExJjdBVh83EStiyScZMMJBMHmZpDOu
583uSa+chWlOHcwwd2I11LHTYTO/GLHX8du8EtJvp0rnnZAevCpPXi1MeUhRs4+D94mJ4qm1qiKs
pYMvwsrXS08fqD5qJyoNwnIc73Pp/FNsnIbSCziDw7Zblv3MU8CvpGGwl9bBJJqgaeEm5A+dEYaq
74QSnUz8hu6a7o2ogKiJEzHCkahIayKdAnKsWFWqA9yTgXmWlcF6sgR/0r6egwaPY47XUTfaJ0oQ
vpIhwD+QJMccV6Qt7ZFOjVFSi7FMKpN+sBj34U7PXTDhq+RUx6hamnsbx6WQ1kshTZgWbsw6Xm+w
m1xk0qapSMMmITLqN6SJ03aB71wbC17bL+RMrOXgSLayw7ysfE7OrdbCPLdaMKWO9aFw70wH1/Q1
ZYF/yOgdySFcHYvjKMdyRw7oOpM6ZrnML0ZU6UjVIGdYbrpbrBxdWcOKq6z6bWtZ42Z0W4jjcf61
wd3BOJEuIZYIhNrM25J9zyBt4jSgCTQ6KAvxmtjCOjLxAd+oPKlGXN8WVTXzZBMPcpGhKNdR76sk
6tCrzL0GQ4dhhogo5SolgPeJQguVLcsSfSyLvqcbwoJFZt23fQTaouJEz42N43gnZqXiMJkWiM4J
Tc8h2EDi07x2eo602W37TU0dAxBD824kU7KJeusS6bfeeNXibbjKH9tiSI/aggpgFtqB2Ym/Uu9B
x3nuyA0qU7ydViRDc0p3fQMUaeOV7a5bcm4GSxK4TfElKSwqNWo+6nxM6tqZ+cWWr3XSHVm31Idc
QWAHcKhdJxNQw2hQklv06/hYmS6LGDc6jQ0CbeZhYl681S8q6UMfuWFF9XyzEE7E5lfnRMpWF/Kq
Hu3VpkdE7oS5W+LII9HcdIe6qS7iBBgnNwHj2NnxemwybH+maNRQNDWwAq/drvlyVNT4mUsUOZAs
nTe8/fKDkpoeNLb6qLAAj2cSZnZWvzRoFD93VRl4CR/jGyfLPtZs7QmeeQa233/nhF/mBPS9v5kT
yrd30f5ZS1T5qm8n6OcwYLIj5Yh02a1+NydARIQ1aMPTRGOUDtXfxwSH3AN4nV+6hb5nZLg/6ZqD
AY3DyENU9Jx/coAyp/z5AKX9DTiB5C9SnCEP2O+kRFFbrLGWqLtWC+M+F92d3sG3NrubfAZEiDst
OcYqQWvN3GcLvpoyz6NtNNq4j+Yh8tWmbnxnwTFC9PJWNUGaYSvTEM0xnXSrdtOrDRsrj/+vyhFJ
WGS1dvDiVpcpg7vW4T22VsL1NTFfKY0qYO4B96ewRtkosxUFTu9kYTGCwm/7qTmpVXnPUhc9clyr
y0zHqy1sncaBiCuqXjg7s8N46o5iQosEMbe21X1SubhSlZIDq+0OTW1tI7eP4Y+Rz3TM8oMU/yMJ
aHR83doLQ7lT1lzzo6a7WmXYcbXiLxBO2PuxAN20Ygqr9pBpl1psvI/JW2tsQPTuORDjYBrBFsEu
Qh+E0BZUxZwH+trVYb1kb9PKmERf2fvQT0et5wD2VH6gdowOkGrP4JIg71Shsl4OvXacTffVyuyD
UDMTXjAENGraLtu4BdBFyASqNSyTWbvO7bbA0DaEGpGTTW84nd/HcXdwWhIy5Jpv9Xgybzwl+Trr
1U1XucQaC4MuCi3RtnojdL9zRg0sM6NgHYk+LHJp6crxvrSqe6mnyWEZUtQauEyZW93OeceVfR20
sDEAMbjdwoLRIyHPFbEJ46Yf7+JeBXemeU+xIjKfsqJdo2bHLnfuTW9905S42pVL7veMDdmYeIHQ
E9bWJKP92qz3kzrqG7tvjobGz7K2zc4zSpaykVap59rsqzuyRnxjTso6F9er2X4l4iMQmJUzD/ib
J1LhtxAej0muPbPZumpJdgcKjMAgnYyPeRo+Rrxs266f0Vk7N9oTtv6CTqoC0tQhDMttX0p0ydJj
uPOuypGbvdSrd7E2Gi5ekezEpFw2y0LyQUU772MWQSKPEPS67tRnKx+f8T6Joy9N4oCjN7gTZUp5
xxY6ITo7PDWGc8ibPt67FljaRRSMkXYJgL062LH10CZqcgSkSWNctt7x/zldEqoaSbsKEfax3W4+
k81jS0Rd8+QfbzaWjWpHNuKe+dSJrN2M6zAQxamqY6cP82aGxeUnS0plXVfgyZo78RyrUbyvkqQ9
Z7YFUtFogrla4MAP5aOrQw2O+4QwKZpdpwucRkZdhVEB6r9Lc3a1S4+ZKRUo1Jmd4KMcDurKfqtx
k4OjRcXO5t/iN7ZBs4b8lLrIj5ANV1801d7sYawrdpAJ7qNZhkRXF4rGJ83sNwSfZ/jeiRN4cUcA
SEPf5L+AxztniKmwpR+0Obuw2uEojOXkme3d6GCAWLtylyhR7leQt7iQaqdxHh5SYVV+sSTn0hxu
8nh6dHMMn+X63EWo/Dl+Q78U2SNwiqM5q/ul6+57Fz2zGSrVh+hpgDCfL/OuCR21FdtycTuAf/NV
1Bo3ebUU4TxpoaPXR30YKn/php9NK3pNY+0aAsgJYMmZ7jI0jrH7EkXWDK5wfS4SpnO2g25IOvu1
K7GXRAvXzl5nwkhMCN61wM/FUwOhZskfDUoR96lpV8YOaJweJgK2gpWK4N8j/PMIl4PpXx/hVx/t
14/3Px/h8qu+P8ItmXn8XbT7JvVpP9G+YcNg8VjtydP42xnu/GRzqEOxwhclQVeogL8NwfZPnN7w
+lACKef+h+RiXf/TEAwyy9ZlhyYucszs8oz/7gw3FH0iCJ/n15pq9u3R69NaZYtemsqTK2BdhaXd
lgvW1Ky50Zw8GPTysLblfj4c1Aj0cCXQq4EV9O4jgX+IKOl4TwNXe6HOhUieozibfbtnw7OgNG4I
Gl8vOZ1UVgaJuNYtTpOpvBX5cj0ruGA8R3+DamltrDa/qNX1TBKcoSpqH2HTM+2KdTu4aGnq9G7X
zm1t0EBA1rnexzPU7sEVND15N6D7fh5Fq4ekCBlkNdXG29rnD1FcnhXTgJyqLv0m5wh0RXQzldiC
bGnTjRmXSPy7+9GWUl5OV5ytv5h4H/1JMPKMGbq+EM0YYv3P9sBfitAjuMiLPbLDskmeB97NQWXV
ObBk3idrrfKKTSqcmIqBgXiy+2SfdBG3oqbWHFYr7ERYjSrFnsY+2QmAAYcpv7hgQxvfcoGZn+yx
jTEKl6vfzal1jVCqb2It1U7U4x2b2dTPSSVAU3Q4JuzG6SF/ZN02EaTwfUYJtgOZ+xQBrthT/LgG
rL9GtpYab4g5R1TLtBZ7McyPC7duTZgMxPPoTSHZkh5NR7G5ceWdkm/1CYv1Qp7oi9YYZjAMiu80
GQx03p9sFLKgx/aTsC+imHHdqnRaYZkDb/qJezXa/KMQnF5dfilUNQ5KB52OMOOG/tgrRMWrTtF5
kMo0sOridk6qY623L7qSX2YTZ3Kjl/cM+lPYJ+5Xs27O2PNOcA4ReJPeyc9WtqR6yN7VYAdoJdl6
hVeR5Ew+Uf2a0Z2Gx/qA1+MwlKAe5wg3CUUSbliu8dcVCggTMGyp2iMlIFgj+ZZXJRvW3l8tSKY+
F+p8M+t9FxjJHA4aOlG5PMRSNF76ygpSZmgytrXhs8k+9VCDAxeH1p7dOsZul+qvlP8lS0aiUV7o
LJAMclWeLZaXg4gxxx1T9Rios3pyrEkNc2IHPsS37qiSl7XTGS3JKvQwLTpanUr91Z41ksuLuJuc
OeWGN3mbqOocgFhgdVK5TVZNzPqO81FG8Tsm/IJTvNj02cKRqWRnMFVMlmjxGrrTZugWWDRgE/1K
TN7W5dFXNTMOKpVEVBBZfYzHNxbYltOMLMKx6npx/+/58Xl+yM3OX58fcBLfxo/2rfvzESK/8Psj
RHZo4xj5zTby7QhRqVm2GPQ+/bOWXNT8PgZaKl+kwiL7NcD/7Qj5xcfLGOiifWoEHP/RGPhnR4mL
ZYWjyOax0ml9ZoD9/gipYhc72uiKaxV79p4CwV0Ss6xojelicMaFoJ3eXc4DcQxDXbmIzMO5ykxI
clX5pSWlQcC523PRskLPaJdNPNmGn5lJs4G8jhUeIS1Iele+b+w1oI6uPDex95RYdEhBjTU2GAMu
AOJctpa5d4UHB0VJds1SP0VujKuica/WdmHPIHI4qUV/jKUtMjet4+qmWBVN54oD8iG2CAf2qXvj
TRxzVZsyfrZvukWmwLXix7G0an8i9A6RyRk3+bhe2ZWD6xFwj2YYz14hnux5vPBy7XJyaEWxyGAT
YMc1nzxUbQRJWoO1FU3Szn+LV5RNsvKio8PETbxl0nVYqdWXBGCeUbJPRoLLL7Hm3TjzpuDJeOsL
7o/VjF1TcUiR22uCPb8oAqMli7HQ/RG6bsUZRUwK3Fp53dKJCPvL2IsEYZTR5TQVvKvjddJ2dNdu
M7thIuPNhV5XbRR9PRuR/VXv6/t8wNiLM5P0dHWeTXu7JOUhhdtDo293tgfnIWmiOKzN5dlO2W6l
k1UHSAT5hqS72BJ9wXSnO/QZrDftXDlbLSmOs1Z8JCtIAbfXH+yk1eDU6NHGFphER0c/FZGzn934
rjmZycFmDFYn98JeaC8GNrFNnZFlVQOTpV+zsMcCsWsH9zmxQdljY9DZZac7VpOVn5fiK/U4Ish6
FkR6o20LF+KKGodLv+zTBbmzLLMvbWt8OJb+QYIh3seNeZK0GtgR9NaoYxlmS2E+GhY5BcycjPpR
uhFVcywt+1BYGgioZNu6MTMUdLBwmWesprG97NzPVVZlDX04jcpNWk/v3ppP7YZzJNuoDKRrY3a+
w4hqKvhTQRnsPVsOQrpEEGPlDHDR73U554p2foNbdU8fbzB2ZajK2C6PLs+R9yQ46jaJnJgbU2vC
1MNGnDsDsWDYLHDambH7At3EsIpbbyRZokc4NBjIK8++jMZO43bDrF7EGZ8Lh15dF21la8iZnoJp
dUsWDLgDAJyLhdE/QgIwpBbQIwqgsRIsg0Z2IAuC5Nxj6FVWRjuTYRTL6zUbBHhtUmmgGvccIT0k
paoGtVQjbGSJorJfe2SKTtykpln7LQqG65bRYbbFaYZOQZRrOnq6eEf2Z8xG/yjNsg6dvMsx8it5
UEuZZLKkONRYcZCsCp7rTba+6lJXaS+z7NChtaSkreg15TEYy+htkYKMvjRXkZRoKrSauTb3lZYo
iKzJoxLnH/nAR0avBM82Sk/nsceW0g+WObqMi+IequHPntSH4pnnzpCSkcCTZQJz9JWaeXSMm+pS
0WfrSkNsIi7VnOYRShgcvyzEqxkFs1SnhigSm7hFsUqm8Wpsc/R2qWYVXnqXtDzNlhlrh7bIEoqd
+YvDDoPAuaw3bE7wO6/4zrBsrZsa2cxoWtxvktWRrFjRFKmukS6OtiOO20CgF+/pgqZzgyUFqD2W
vc1NaRoXBXKdGqn3eJlEoOnjMZLzobGu3Cg60bYZzd5a+5x7VjeFdlfZ2aYbsosBFzv359EodYSO
qCKcnnZUUmOfvvz3TvB5JzD/dq16l3a5zID/+Uogv+7blYD8sWlTRm8xP35uQn83kBgEbjx8otLk
iR8Eb8evVwJJT4YiDHL5d7Dyr1OlKe8RjJmsaZGGaSD+R8owk8oflWGT1kiuFzIlZPNP4V7y/ZVA
i8jW560tznOrOttqpM/NrE0EUXPaJw4oj3FZUDQok7jmh1AvQMsh1tgg/w5YSsUz7qruCgz07HeG
0dxlg23uLZBppymP6nf2tSXIOrA6SeHgwYupD9nUnjIZfqkp87mjMuWa4cR8Yf/Zb7UIgX1DvUoR
AE6uKIqtvXeMnrfQIFl2appyhCgygeiyywdot9ZLMTrt3aRbsOy6BMFtqARK9cAYpFmLQFVRex9m
jv4hrKF4JjZU7WOr8wLqzbu3kdsS7AHoNk4L88bJpvZiSMb6hoVLyMqp38ZpXAfjpJnjdaLQbfZV
AGIwLzTCJsu87UU+7LS1H5QPLIBZckpMaaeE71W1146EPTgYtpK7BBCJT3cHLLW1N1ZnOrlUSdgk
H0wCjltRTC7sxmKs6bNEjyzSC1upGDfTgf1nNuLqC3Xu+14TzS/2VBhvyMhYQpQZn1hMP8txweZ5
RyHR+ga/0UId01P1Ip4YMhCpPAxpY/yFJynd0NG2vkVdsn4wrDy3SrOt4vSoyCxvqbEJn6y23sMZ
i6n60gYWxotLoFjrl8tczHVg9R4FoHMp4GOmU5xuu7KnD68ZeffWefNEwX1xKDztwcibZF8r5FIS
CEO+xZJvb2edfecmNW13Su891Gpjn2avUYNSF7KcubfEfdSp5UeHLPZFcSblaBS9Q9apvM5cTQna
fuSWpSjdHIIVZnyfo7T+2cEmfKD5srq1Nbc7WOpqv8ar5gSr52QP3PqoCszMjLkVoD9VO4K9g7Nc
djkpiXWYlQseXhpHnWrCudlGz+5aTg8VPc0hlSDpnZLO9TkZiW2yUcO8WJkmbuiuMzVEBi+hgG62
uiBuF7A2cWXZe33UPzwb12xhHJ15Mm4WmwsIMqOtfdSiXrdNys7ZAynn99g3/X/fxb/MZ8hhfz2f
BR/Ff06i7T/+/DKWMIhvL2MadnllqjwJv2BmvtvSmfSMQXsgz/erL++HlzFvafhqgKLle/KbxGdq
P+HOZ4et27Zhfbpj/oGbj1PiB7+/iYfPopuJB84zeLv/YTrroyHrirXSzxVdNGqeXjpxvjHGJfzu
N3P+JWb5HxwdZ5FWffe//5fuynf67/FLfhLOD7lYZBiFUg7J+Md3PvzinGqmfDpbFjTFHlymGVrY
Z8sUGUTocY4lwqFwphfX3jJcNnn94OjgkgkvsYyGAozwoeUXY2tRjMlnd2Ms5Ocpy5CewvZ56siw
lW4CXEVCyZKuuKv5hhu9Ls7EkOk/dCq4i43eBC7USz57peyrci8aTDkebWqbCsAk8WqbHq682lIU
vCXK0wcDrr6g4w1UO+aT4jpXnjl4WO6NZ168YsMAdscF8FYp55OiWKc+JaypTinGB5fwgDeSIC/j
sOT9RMF2wet3JAwlwwDD2N+A1cR0Ozx5bvuBaPUal8tLK8egfHDohl/Ss0UgygYZucXdube9CItB
0vIXatsHYcf71CWKUSTJBUrwl2pK8u1YqjU2H468Qr49Fbpc/YKL6Fbr11etLKm+NLNr06VidSkA
5uI8aOz8dXC0h7aLrzCeDL7QAIU0w87ydFTPWPF7Rgz+oUbK6gascaJbd8pSk8PsiSI53qvXM4FQ
pTI0CRUHg5n7PBCBK5kUGO93zB4/u0TgfNW2rpRxIBNVUf7WAFbTnOWkTwBXFwhoU6Kl21wrzvBN
s61hcOiW5lUcU6baa+bOk0HYRJ4wim2NQd14rxWAUDYZt3SCLoGxdo+pzSYthnXpG31x103DQbPy
MWgN9ataLLEfT8tjkaYWJOr1WscZRIlYRrx2bd+1Qn/XpwKGOWFLCpEP7Mq1TT5NO1rybkrA5cRo
7UvHWAFhFNXXNauJWHV0ftri3h6Rrc3GyffTYOwcEBo6nSJuRStfyCPGes6caFaek+atykSM48JV
yKhZNqZzTZ1zsCCLTvXM3pyaKlCdaau5KI/U0M7HorDYDS2axAUcWtN4J11zSC1tO66MgQTN6vEx
tww8pzHFypSGgmMIhllLgzzTDwZzjEbFXS+HXLd5i+z0VsuVDy57ud/Q7S54Gu8Xfbyf465nFzgF
JCa0g1JadMpN46VLtjVQqGWz0pzIRjemkt80vdiZ02Hdr6/iVI02XT3v2Z/6idld1hmW1b7bT1P/
DMWdEYVY6Zip0IDFVW7zkTWq/MxSnKCvcljJ1QJISxKoEAtlh2P6bk8k7rKJdME8aLdwp3ez6D/y
NUYxRlqu7PoZFzwL+0PCLiHvlf1iO29zpr6u1oJsXACdXYrXAnPP1NEQNxxrQcqZKEZWtRsdZxIF
gCa3NGjzk2HuR93YtlpCG99ajzvDyfqtqtFRGI/ma2ViXZvFFERK22KJrSH8VdeLmF5aQat3upiP
tGe4V7UC5/weOv8mdqHT7IVOSvl/eo3+6KmQb1GOC8CbvIe4qWty8/P9zbnrOsOMFns5T+QbfXMX
Hec7cUWjrK+8VU+sCA4syP3ooibeEmQ74/D3r/Ef10G/fnvP4dyhMNKCe/Tjt2+jwRoVe1jPo/NW
RwePi643vyqi/OVG8Zc1BP/t++gk0BxCb4wj6h86LbyeMwthez1rXOLnjuDDhxcfuMz+D9/nx9Pv
l5+H3ydnICgmhyX+jz9Pg8JiDVqinm3rorXxQzNzm09//zsz/9vf7Psf5g/fZEhUtdNxSp/HbfeI
uB+Oe/WdbDE2i6uSZ8y/BYPpl1t9/3DCEOafxqt0+9iFUXiTHSd/Dxn0kpSQHwdiy3/Cx7//9+ny
l/njyazrki7nEGsCTf9p9/9ux1dQmUA9sqqdSd+doCqF6pX2FB9pGUCLCBb/+KLt5s2p2U57y9qU
F5Aib+hI3OJu33z+U/5fc37//2NrWNyG/voieT8Ub+3Hn2+R8qt+u0VS0ea5GmEFPnf8kb7Pjcq4
COgMl0Wx3Ph+N9IbchtM1YiKlVo1XVe23/62KLZ+ki1IuKRtBzaYTJv+g1skouoPDxH3VLYJ7Ar4
NxAvIacuP2nfPURx1LCTLMVwguqEnpwOr0wnCXkqhinMpbDOiydLQyglyE37jjsFljZ1m7Yaz2Un
Do6Hx7pjDgWN0aD4p4QgsqvFYa0k9PQOJ+k7hz8UIyEbKJQJXsykX4mVHEmk0slQdvV1NatPE4OY
3pnPXhMv4No9cxsVKp5f7lkFjZYYd5MEmwXbAqgxflpnj5ZbvdaLeBihs/vA0utNZNuPbdMfKnAc
vac8RRV9iLaDFJFejXly2Yv0tRNuSVeYc6a8AK5VzLKQH4wzJ7V3ui6OgyZewBgu1KAZOFN6DqWm
mPauNz0set0CC5m2prn2gZ7hrMRDSihQcd+bZLQCt7Avu764n6qVBWBshVbu3orUe4cTek5Bhvl6
w01GlepsRBLNrcdnNa++woB9iRr9GvTGV+Qhb4PGEocDeYh955RnZI09SGDfzOLXQu/HsC5cUB5A
zgibia+T5l3lCr72Em68X38ug83S26YN6U80oUtcxcfGjC6rGKEkJRLJEbhV2wlasbePdet2Wcef
IUx9OGV7b6TxLjLWZ+gIpbzNnFz+SJ4K8GOaCMrrKjsWfW7sG3vsrhJv/rnIPMEJq+4EsiPoD07W
UtWfzNi6NfslCkjU3Jux/jPY+fGwpPLLrWHY0kP3XNLw2okEpDMsh6EfKOEc+mxn28WLMDN20/Vw
0hNLBboLArfRestXTcW313yrOqjgjEa7pufwj7lI+UPNX41OXS5w5FYHU7aHru6WVUa3izpQIREF
xGuZxwT2ogXq7XrrkBmcKms7NGZDSTmlVQC9YEz0M4rG2iGkDzxxFuIC+1we4qXjb1jqNXT9dr3j
Msh3rdxtHI1bCmvuVtc4plNOnlMvCDWzTAlizI3+OORfezE/w5HvgRXXX1RN0MEpIpZI0oOgpnu7
IfQjlGSvAiQLFIf7mqqKHXncHa0ZA8Aaxdv3pBXxEbsfLLou3VmMPnf0OoRvh0lsAYo5jFUYlzPA
CesY6UBKeBoJGxn9l27wahYVGvmgtV7PJWvyC7OCdkFWigO60L0ENkk+Pelu3o5hqxB7fuTXEPWE
JJwYqRh4ydaOSrW6p060F4HZ1ytWqJaGiQ1Fis5ZiZLUPi9NmpyNZo5f6MENu4JHyDcTMzrV3EOz
3h6ow5h9lZ51IAfxXdKoyib2rPkGtyWwtSY1QvZwhoWNuqDO3rW75jA4agRsN5170KiqQZ8IOaQN
6acbIey52eGg15/zSVWBd1U1kYusSLRgtp2vajzAIcztpcVnQS+MJ4lZpsVmJdWd+F7tKch40aMx
joLEWPUkaNTSjl5zKwUbouptiQOUvWb973H5S7RI3vf++rgMi/8EosUe/ecTU37htxPTo5+UpbNj
4KIyYOh+p7toP2nceJC/dRt3svRA/7YX935CcjERanRAnOgy352YLnklaYUieqSyUv1ne3Fk+D+c
mBAdXAR3Qk74TSEJ/+Fa2MQRjafaiD3aFI+T9EeOGCUVlCIYAF17pv8KFyWz5bNlgjD3LGCQvQMj
0i0pZe+UsYLItgw+dX8tk6H5xALM4aXkLkQbdG27gvzclrKpBg2h3fTmIEife6DXpe8zwwBKww+Z
mdlNjnbtPHiYRBnCKlIhGH/Reo/cn2Owec6hT+enSLLjxqy+a0WCMVdJvb2mxl/Rp+9nQ72g3Psk
1ATVXnpW1TbTtosF6Qp5+bIgIrFIh6vA6sru9CXq9WNv1x0NQrAIx7jYxg3tTMOEP9KerS92m8MO
li7adraWrSfmD1vYH1xosoDOb+D3mG+92XiudIEXaCiEb2DQpSvsJpGOXf6ZX72qvIYo4EMDdTZK
YgvYi9mClVvVdrlGNtEiiEjT0TYWxU0ZseejT/bDLrRwlqFFUdQ7WJbvTjvdckbGe1UmHMvRArIw
rWuQpYodDsqM5M5eIY31x5SI5CizkqaucZZQpepXMklJjmJXjNPBsPtX+nEoCDFIXQ7EL1eZw3TV
5RHi0uSe5w4ycd3PKwXVTJDeZQLmcZW8x4i9dNhlA4VSMzlGcy3mXZniTmjSzCPhATXSyPUHyppx
00qrmu4mlNXmxsuqomWXvucN94NdxCeARPVx/eRSJkq+xzIXTpl6q7GVZSZ32TKznvdzNX2Ua3ta
ekBdGgqrQvoPcFHbpJwsQaYfmNI5zqL/y955LDeSpVn6XWbvZa7FomcBd2gQALXYuJEM0rWW159+
PmdmZDGYGZFTbb1ps9yUZRmDBAlx7y/O+Y6/MJGDqaZ8Y0lou4YYDXrHHBGupt7lPMUi8/x4vC+N
6JulZQdfilkUzFDOoSZhwJK6Z30Gdsa69iip6RPTKIy6MD2Fo6O4gvKpyiz951XBCP9TUgGBzrex
yBNvBBKaAws1fYtEPeihJPldZxAz5JkritoPlNLMGi0TsCI9+FEFDKmhEiUOljQN24MAU4oW5Kml
u2Sm5iDNlfYVQFMZsOkI4FQMQBIrX70LMtinYe3fkOS2RyeFQFwN9JVWMuZJQKbmqv7oW8OtObNU
Uy5rBFVMoEjueml052qo42MwMyT82UFg9Sd2O1dgwEAl+tFlDbQVRrlL/b4L0O535rAvgbsGor2b
p3sM+I+9bpxCILAa/v9SRmydNOLB6Gx7HQczWi4ic5tjDutRRdiwI8hQ90kjA4ZWP9RAaDWnv0g0
dRvCp+1mUG1P3I9bacO2RE3m8oaVF/ACrpoIUv8MvLWAly0m017P8TZLAr/tJeVlsySVDhGcM22m
GZ5LskRMZlTpjg3q7hmyO5+4nFJKgVixPxcdAzu1auVVB503kNG1KyDcZJ4CzqRLTZgXcee8GiZi
xNIyb1GgXmh6FbvaDP/tkcJ5xXzE1eGEBVq+ViEFpzMyWC2BBzdVsaPDSTcZagdlBgwHM2rY5P3W
TcE1itUXa4YRB6p9AdrcXweBJK0Yd1+xsawX1QwxFqr1orJXXGJ0xEANuFWAIV5kkarj4harhMh0
HH/+dVxNMbQ55SafkcmdYkWvZSgRKgJOGSQ3Lu3ofgj7U+2Em8yw3ycmRssWQc8iRDGbZAg63agx
JGfBmDm7zwLJCi4mlS6lNfsZymrsWVjdOLNcu56F2wQ+PhUTlIZS7zWQoNMDJFJCFdF7m61UuVNX
n/UoPYYowjWU4SMKcWWWimt5vUsndZkEOuuk1rhEGX7ROSS6mbPQPEZxbqM8l6UapuosRie4gdp4
6m40dOqRL+8IDruLZwF7AlSA32Z6YAN30VTiLjPAkAzxmfcDTwIq+Aw1/GQgIUAGSHydjB91lsyP
Tnudo6FXTFSKaOp1ebzNVcIm0NqbaO5LB06ozX+Msxwfcx5TzFmi75g0YdEs289lpP2csd4QlZsc
ZX89S/wttP5BbOJ3n+X/9JNoRj4sAWW8nWaTgJQQFvZhG5gNBPlsJcCaF3nObC8oZqNBIlPQwlxX
FsHIVH22I/wzxPjYhmlM6X5elc1R9Kv6OX+Nmte/qMzmb/5emanqvyjHLLIVDAJRkSN8qsy0fzH1
Q21O5hDRQp8rMwYg6scG6d/f9X2WgR4eZJYBs+q/QQpls/ZpHGbw023KMXrFWSIhz2XeD5MMI5Vl
O/br6TS195VNkjLKnU9PzF8sw+af8MPAjZ+KfWfOdICiIevzb/BpVjKVPvdoqSmnZsR8JhMdQ4tl
fOv7za8f58e/hOrsy+N8mckUklJiTDWUk1H2rlIjPPz26wf4UsP++RHm0eKnvyRQENfNoCs2KWTK
6beW815IwnWkk9MRFafKbtM/lljio3PLeESJ3mJyJoKzWlxitwqGctFWe5Oaygb+GBDuF18PWeiN
JKP8+jdVGJ398jn/Um1rEWkQQz0/F9rSp8KqyvuOC7JQ9NMAYNtHjh8J9vq47PhP24x+69V+OtH+
GCV/fdHB8RsmWDU4uB9uyU9PFTQkpe1lS5yo5SL4ALS8hwQKTAtaSyckgh1k3m1JntjVDLyNbrhS
wDUDWi+IhJXJmYDpxOiq5ErFFybvBqft6nWaPaiZtuMEx/mjSrFyO+JpW2uJE9sLzIgLAhyXtYka
D/Wf2pOK2ApWM2IdTqfejJYZ6UBFJVF0QAoEHZqRhTTFMGaxMaHXa26awL5gkwb00fT6nF+A8hq9
h2tN6ULEpZcYNyBEK8/UsERWjNRYU3VKB5aQxLtyI6qHJibjVWKKMuR7pdUvcQXEY7buqd1vMwN2
KdEeoJJuWt30MDgs4h6qixEFuge9CWyWnenLIkkfW4mhczbVGPj9xuN2+01R9tNXSPs6wvzywZ8F
VZ/fzEPkYCMbm+kkr7WNv50O7b22trf1qVkoh3ZTufUScqcrVpq7q3eUQd74KG3BOK3ltcnIPv4t
9e6nv9Cf5vJfPr6ziurTO0ZPyTnO5rdskWwLyubBw5kIJVL+m+Nofut/fWd+Po6+HHionNnAhTyO
hB7oZvxWBS6jIsBupv83HwLlx6f4t/Pi84fgiwjA4feqNSdST6HmknHFwhhuOLCrZgnNLTgNf/en
/dUJCF6aYHS8UrARv7ykmZmN6Fc19TQwT8ynF5ycvz5Xfmzif/+DPj3Al+dOziMSawOVoWvvdYig
GPE1Y/I3L9DfPciXU9YZHXNCZ6yenB6nKJ3zjWo+/frv+Ksr6fMT9eV4FNzVNVgk9aTy2R4R2crm
lRMfHRr6jwf6n17x/DTKcX6g16IUdRSEbfN/P5Ieg7fCe26ff/g/S6B5rbjs3mpx9dYwSvy+3Zj/
5f/vF3+nf96I8u2//s/ztyzKiaxu6+i15Xp5+3iET2RQ3uw/L482XfZSpN/av/6+Pyoj7V8UHLKG
MMKclzw8zB9eDp0IRyDq6B01/UOC+X1mhSBoNvobwPPYlMIJ5f3zb+GmLM/E8/mnUiD9Z3TQH9+H
DKps9eNzpABpBDjwdfncdmKgFTeGcyfvgtiNxVXRrD89KeffTp3POqHfBEc/nEbM5SwMSFjt1Rkw
9uXUU2hLyG5ryrM2cCWyrjAaFvGhpubaOZRxXc+ykTG5nIrItI9zAv1DHVhqcompSrjwmkd1p5ol
H8NiW4UEnPrwkrVoOUWKoJbTsGKlZ5/A97SQtqJxNlJVXLcymgQRkktRWVdj1GxIgcKvlpGfHLWK
Z+jVDoHiSbKTl1Qkz5LvE8tebuM0fuA6V9wpCk9B2yxtNd1aIZJLZazf684isDYavLTSrXVUEVUs
IQlYEKC7qXoiOTq0gti4K61x+fMeAlPeElyLLF8pse7lb2kDYNQfdWY62ZtfIgi3sxIsgTza2Mvr
FaFcB7+1Bg/yIb3coGJ2t+SXscl3GsR5T9Hzm14JmOGrt/UICEeN2vskg94ciuGVGIyd0Ot8VcXl
RR6Og+dUFjjiyDdcv6iv6yhnhKFj3A+EdkGICjPERrtMBydwp757kGJtNWExW4KxyRa22r7jR05d
O8KqZ1UFgjJ9bw21TgNbRYs0qYhskbnaydoN3DHu8mVUqgwEemAnejndK8BjNV7ORdFJV8bAZZSp
LMEyB4m9nTxKVa1TfZRbR2njY9oOissEa8eqEPqCAvWRJM5D0L5qcbFyOpNgHgIv9bFqXCfN7/2p
112/skkSC5RdbXe11/ZEx1jGaxkxtxgEKlxLf7WJEPbsOHpnFYGQQ7cnr2odAErmux4NrlxFb1EF
71Zp4k2oQi5QRtstMI72avOixDGx8uSKLlCQbdOIQHW9b1cEXzDb1BCG6E07LHVJduCxd2d68ts+
6BpXStttqIX1UtHDa4yDhHtYQeeS27JMdfI0+8CCaM/r59jxtQo+lmkGUdlOf58gPKXkMt/j2Hky
lOTDbautNLybxJ+FyUWeISIN4qh0OVduA1FdE/hSAjDQTgGpK15YkHyujOMToT68e4YKr8fA82FZ
oNVN/8bsZfwRcf6mK4O56mv5NgnS2ybChTBKc0JbAOzekt5byX6UbEE7noSupSkNlv+PPYk1mYWK
JUck2/JDEDPodeUT59G7Dsq66sYISFH1zYR3OWGkt4lMDLUxjfHZ1IabqlI30lS+Zcymo6QkIKQo
v2FIhuppRew2Wxu92EBqKK7We11vvdT0U7cx7yCtjvgmRXzIZoSgJF3VXexkTCjTiv1gRvpoj4OI
cNbCqylL3CY1DArY1A3gBo/EPeqNkZE7CtDOgi3IZ3P2qxybwnogmeYtksdqwbFGPhOk/ywt3T4U
e+IEn6Wx2w9thBmoewwIhpjPnKs6V5ZYaK4KRdsOinQlhAXcMLhTEyIrASkXirx3hmDGTJzJuL+Y
mnY1deRVOeJb1yN8Dq3YS5o2WRID7iZYW6ymxq1pG6u67I8WQVd1xSJXYzIdRgZLc4fheWxLC1+S
TqKt77LISQhSat4a2AtqNd5LzZvR8U7sTWul6bHFRj0fWPM5/gCYN+4E23IZS++dFaCArqpadeMA
J5Nhl215TPC0ZYWOS2YCYNDnAUm7MefWIin0kuWmMWlrSEs1YQIMrG0tu0uqZlW3w8MwpHdNJT0y
g9Yu5c6Yzlx41apOq+dKVbZhrX0bfftUTRAYWKx7eWazwUgmxWMTbRMXkEarbMqcGz2zxUWQhddR
ELzE7PTdIenSfT0Ja1kiEefvkQW5Z4SZqryKQ3gTRUXsOZq06/rmgQ39dG1LxCH4s7YNJTm86Yi7
h1R5zgA4kabXdOV0kjAX3pixJjwhnGEZ1IAf5jxYXNNNx/7SyjZ8mm2vSltPN2nie6Ud1uxNC1cj
CYPNsBy6fUoYLDjfiA97ZGwG9Oozhv2M1e6q0UO3MpV13GOBgEAGdUSDXWMqN4znH2plvA6M2tyi
O30onAGjWzD5x19fu39qNVQZuR8WHhONiGXIX2RlZtqVKHqr7lxAwzUVpO83Jr+1gXQi/js91I9V
BGWKyljHVDTsKWRksvr6sa1pmgJwI0D6s+2zRb2rxCqU7n795/zdQ8xf/9Q5IdRP06FLh3PJBxPf
wiLsn/Ty+r/xIIheZIvaSlE/ZiOfHqQJk4TEkGE4a/VNVRwIiZD6v5Hb/fll4an69BBfuouWyNlA
0cfhrNvXWbWashZSwSm3nmPxN4/0px5wflE+PdKXFoOYCSMz8eqdgYktlNxE4rvr4Lj3yz5D7fA7
FPOnre2f2g0eDlW7gWMZ9jFkux9fIAgM41S3ynBOqweFgDDLvAnCvcgePl6i/+lm43+fnkzmCft5
r7Gq35q/Smuav+t7p6FAyzTpCBhDEnMrzxzNPzoN3F4AP1iAf+8ZvncamkUOAVoz1O2z8eBjPPt9
BmsQiotd3DIslU848Zf/iZ7Msuh0Pg0lmMI6sAod2hpLoW1HPfLjOyTJUsUZyWA6+mOzC9qqzy/a
QRXA6rO+LAFaRB1RbEPTuFmYBeNd4cx5roUDPJ0NXUikR3OdhZXwwiZP3KHt1hVZAiiI0VTLucqN
m5JR58Qv1EUROxMjWgqJqiWfjKPiEBViptJjAXwkz5L7oSuU5LK1yvA6SaKNg/QkJzzATVmqBHIk
HRMf5DiWpGqJ1iN4FGUbnv0PIUuYCusMkBx5iz7MaUHmh+zF+JDAmJakrXxWRgOOnlkkU30IZjp2
ooR0IqNJPgQ1TVKg3IpjYtjk+mKI9d3QGVdA74XnW/mdPKU3HzolNFCv6mxaN8PuJWsJ6KvbmNWS
9hLmMVR2ST+anXpvjuNdR5XgauzmpV7ypIxtTDB7tfWyVDxbDDhIc0uf69F7rME2CvfkSQ2M68TG
sBSXhiek6BvT+pus099knWSUJuNJMez2kuwX1pB4pTcDP5+krDJ5ElrAynKINvKEuryaTQJZat9U
qaKuCuRD+G0pmsdY3YTgkvO+r71siOgGuAeNjJYgry0AJ4jclmpcpexwBPmh6qU/B8fBvsLJrqsb
MDEKdnCiZxwxqlsoJtgbOvmbXDie3TWZK/mGjw+6WWe58xyExd50rH2jOeQX2hJF++SQkp5SmIbN
avSlb0TtrVJ53MJkPgY1OX+9X3tlPQH6z8kLbvzyvS2QEZqotUC4ZK8DSjavF/kDb2lCwpze2piz
CoO316WuULS2dnFsjViiavTPqYMBhOycRRAqV34pobZlubmQx9pwY6NvXN5vXkgJ0FHdkA7f7lpe
wbbpVkyCo/VogD8w5apYTrm+zXoYOZVxrzTtEUrPTYxP0MX0dZcF4VWoh5FXyvgGA1Pasj/TFn1Y
XwnLv8FjeTlVlJqDEpUeucgoMKNIeErtn8kC24jUl7baKL3WlRR6sg67RhjsCyfFSUE3kD+NtXFt
09HTboppV5TWKRYFqQs2bVLZ5Zqb9elMwR0OoAS+keG8ixBlMcuMLoBJMjGWrT2OV2UtOykz5aCC
navTOSnxM9GBw0o47cmp9YeeVFqXjzphWCLjguq0d0Cj0yIpi6tugrLZWZtpnpFbc6qNPufbtEl/
q86JN5LOu9Oft+sNcTipUCf2lNaDMRCUg/ti28/ZOWmtblHsaJ5m24ewZxVg6thb5DlzZ6jiU0QI
j0kYT0YoD4ZQCbuKBY6QwJ4oc2DOkOBjzlk+A0mZHr4NsagI+iGhs0cyJ7/7RAChOnuViQSqBo2V
a4AS0ZfUN53YoGbOD8qy7C4bSBRSiRYSc8ZQRNhQQeiQIRXC6JE4hI2+s/TRvNRiu7QYV1HjirB6
0QZaW9WAYT3T/jqjujClsV1OCUKXfnqpNfWxsh1t48hz6gfC1QmVHyl3IUyB2kQqoSNHcELxCjCs
2cpWex3mLd18KafkmBaMTqwk5qzVnkqiANqsJSE7tHG8dj5z6Q7zS1yWOfw4+diDOVjiR3nrJ+Jy
sSdexLHae71fWJskyWk5JJ1etqscJJ6IZwZ9IEaST7LSADCX/cE4RiOMm76pRsxayOk0tboacnbJ
wgZuoUyERERAYzW6vzagMI8g/IDQCUt60WErMv8py8fRyyQdE6tF/O1IIotb1vGraeUIYsgTWxq5
vwp0TWzMvK62RamvEkgYXmiZ6crGj7ngPCSlLK6earqsnEYwGPx1gXriMpQiE6hT5IBlY2SN+clZ
AaAqZr2Jf2nmarmyKpCxgXaIaVNXbRbbayRLYBxhTpOFJ8Qu7LpvCfTCVcg8ZKeWxC8bgAuWyRjk
mzDPp9uJlD1PH4S0MgCVLCR0FotAxaNvtP1Wy/w578+e3NTo90Hq7Hxn2ksRaltbQWriJ9Nlnfle
EFo0OZZ5mBpEN2EHFgQpxrnswptcxTJFX5WuSo2VeBdKtRtr7atZZf0iM3V7PdpY74QStC7UPrKj
0vDcRjgF/Un2EqKj12U57bXWP8B99IgvPfc15GEtxl4LqZfBhFUfoS2/2pBcyOFCG4bMG1qJZADN
NIDs2WLpmwFzFhrvhSwPd0qXPBeJdE7r6DoB8ujK+EOW8Sw4rfXyLZ2s9yCT9VWr6Y1XRzo/MlJz
b0jlxzJCCNN30dF3OigjRBd6Q1X7buEn+9zO5E08xsFdRbQjYIJHE10L6Cs4yWn2jh/80dBQ6Ibt
sfzwcRGG4huqs1QcTFVOlt5RieNSjHBpqZJ0Ocml7NHIXSglIbVFkezTmkpE5041CER1FUUhWqbZ
WJ1/sH2Rrcl22aU+BO8qkRaxkd8jsj6Oc16kKbIMqKRO0GG9qxplb6TZN6m034cRJY/Jti2vpI3f
xG/YFldNV7TrxkIRW/LVoZDu5Fg+TME+i5GNdBbQjeTZ6eKXsOHw7SWZ8Bpr20XgQ4zWJrDSrHdT
Q76clfDyZIimYlR448T7OaJjXWEUedPIYkBcbV1HccA/5gDvwUFHdaosdDD54GwgQVO5PVGBbaOx
WFVUOgutNXeTUWRuB2DcrFg+OsO9ovHDy7FAMxvvEwSEay1rX7Gt3wek/bklAAwZZfpcxCgaF56T
B2sjJPRP2NoRT9xtPeAhKBsw/hJYrzJyDgIRlacBp+kkZOokEjJ81cm1LEYkQmpM80rsM0IPmBmE
Lawin49OPmFNhB10nfUVf5qd98uQunNhp9FSygmyzfWazLpwN4j4PVSMaBUM9kkQJFVM64YQOdVe
1yJn1newpeQmTHvMqrqeuRh413HcQ1clwa/QphfNHlbmELywPz7oaldTcsghL1b1DACUkZ06xAYX
cV/v+fjcBIIhDVKaO6W0YKYw3m1YMQLFTjdqkW77NvF8Wysv8w/GHrsmE2oJu2XpPuyLQgY6ljf1
DrfikCFBHHq7x9bfSwL3t/GUy0YkebqP7y3A/R95tpPsikHmt0gYKCH/WU9OgLaqILLSYpObJwQP
RjqS7CzpPDLtHnybaODc7iukWIGyBIZ/q9X59aCb4wof2nsV1/ckEBoLco/4S0EXYA/Zhpb+XObj
eYwcg7kVc+4wajOXuqtxk0SvFsbQE2+HRo3rhAEasLN+0XCl8frNrx21eecI4PnhoaoJwkhL3Rtb
69i3EaoC66DYJonMTfysOMJrHP2gTILqpihfuFsEVM3UTXKbGWWk79pOfpv8PicjXAaD1Nsbve/O
gKJCirxpPdJKLKhrBlad+bd6yDaaGUqMPQAJVo150Kv0Sk161kkMg42sGDacuwdnwOApGALlRtMQ
+8gnOlZ5QEC2bqKnGPUVDKcNk9mpjNelSrXrKMlTUpF+FZ6SkmA0g+y/UdsCZUf7bvdH8PIVatH2
lBnxN5ZfmL0UyFgiOhaBfDSIzQD+fdRVgqSzhTRVXl1Lwa6Xi/tkCLZtGD22VntbOvgBYvD0dr1G
tn6Nn9Ol7j2KSn2KyLl3GomTMQu2jMimbdylT/yCt+GssoKT4S9D8rf3nApPelb099nUQxas4v0Y
JkC4+rhwRTYxEhCQiUzloexlHJfJJVEEz0lpQ9tqWt4JzmNqFIdIC++zATnqPw39h7bKYELy84b+
sXt5/vPicP6e7+28Cu8bizdWFQxdLHLp9P9o5xVooewU8fdRuJoWnfa/xe6mRvKGRRwy/+RDiPW9
nSdNaE7YcPjS3Myjg/++QP19i8fu9afjHvaQX9t5izEDLjPMaFhXlRlV/nkil7Z1K4/FKJ/amHPF
yY21mWjSXpW6ebujlJcGuu1Nh12ac99vVkWBRqal1p2nrYhgmLaDogdTXU/dAjw+J8Zgrnvk46k9
lhf1JHHdySTI2694nak/Mj6rZud7EyHiDmHikcWVXeJK6mZhCwcFw/1Bvx2IINejML+pAjYuQVm+
mqwFiq685egpXT3D8m4G1WsquAaKOd28IuacOw0wGyuZ/BLlwVqJdf0saebeNwdn2Q64obNB8j1J
gV+QptVZ+O2z1QWvfsb9QMCGzEqtrLZ2zkaiKqQr4G3p2WlruFtm6CxSDZ+UL1jP+JGpuwHUcJKG
xRluC05RR/vWRCaZYdXRbuEIlGHyEKnaTVs42P1j9Q3uwYjGKbit8fFERAB0phQuSAbZ+JXzDSsd
EU0hUa/OeJnLMEqAmGZ5sI8n50aJuYmMCelnrco3pRWjQ+VFaClS3dTnylZb41l0Df4Dq3mALpMs
mjJSAJgj1NTls53qihciao6c+YzPBnvYCQFcQeTlu0xSn2zmR8I19r0ogq0WN1ediVB6NLiWwMbS
8ppkETF6WVhl6lkT2IVKkjrORke1UP60aZMA8auzZZQ39slRS7FOc5tgODPeAiV1LoIGkkLVU5VP
VnApdQmtamSQv4oDvhLqe1oYgmLSLHCAx6pzTMMaZl/OiesnwMJaI0tWOfafXQACPIT26cqpfRqk
gokQZhOyHYr3LNE1DnlcfrV65OLJ2e6hS2ojnZq8gx6qGNI6Bqrl9kr3ZJbhXUJSkluTClipYe7h
EOJ5C3hyU1gA3PrTnRWJBaaEF/KhsJdr+k7PpUvFLt/1UCy7cFx3FYvGHCa7K7e1tjXTalua2W5s
jaUeaBQryQkvHCiL1IHxU8T38uDfGhnoxDZxClal1i28ToNfWz34pUoAiQ3Hu6pm5pcsX2Wi3UGt
WFdJfBWxWWNK9TjI9YvhsMZQEqXxRNMf7ZrKoDYHphFyfmGQrwWLTNoRvauvTRllOBc3cMTAOsiV
8krToHlNK+5LTQXppJSrsmEAVrTcX2Lstwl9hNvnMuTB4SXkuWZPD7ojN9G3F2r5oOXlhYPm3LRR
LcNTYsfsv7bysLJqlvNSOlQuQIbCTeJuP4qkcgULRDcXxrd2MC6GCtp3ZseHymd1FZVZ4iaquo7D
5smOqz0JO7dKMt0pUnPJ70eSiw4YdXAuQBJCTVQ7L5h6VuIE7dkV7rpukq8aR3sSrVOeQCgBFh6l
cSclQtoSK1V7Obwp4gKvdcBMYZlc2WZuUOGypVroGi21b/FTpjo0NhmTtdqv8OdrUrrNMlKPZToB
G1YW7sRmWkiFlRDwyZtY2Iyj1ICRSkHGDcuf1CM/kjzMYLyMVVkma1J+tScl/k2o9c/gfN5s/fye
Xadvef7ni3b+pk8XLRpOnUQLRweJNm8u/rhoVRL45qsSnQ6ahxnZ8++LlsGRDj/td1sZX/p+0TrQ
fFR+Fv8Dg2BmoX25WH910XKjfr1ouc6xp/EzbVsn3maeq3/aSuWkdapjZzsnlfxRCk1lKte1VgT5
pSblobo0QiDbT9g06kuNjtTcZT3r3ql3DmbsHOoc5jAflRdyL3eCprxX22AldKLBF6WWEhtVaxPG
aK1adr1zyTj4PfWziD058Qidyq4c+nQTMRPEThmUazunjyuljRSlL0Y9Es0TF4cgHi4TdSbktDUQ
K3NDDbKRGSsvNIjQkVNIWADEGhv8UWXSEKlsIYfQSFedLDZC6fG8SspLnCmLkfSCbW1bD6VugR0f
Xuk7LmyUtcaSy8p8dIBYtmgLFixSEYrZXoLhi0CdVtB1FNVpwg8CNIRrrVc2VVvs+4TP29CieaA6
qVkjW/mWG56/NpdkrymmeybzF3zgZiVBo6KK5UZWsQiHOkeL1gWrOkHdQuKStYwH5RkXLMm+8GdQ
AHE3FN1jNvpPXRwzXStOo2A3LmW+scoa8g1zOd8OEXEKTtQwbYG/4snDvBLO7GJdhr3GUjojCdlx
AKyIy8xItg102EWoxt9E1tvApHPS2QsfPxnMEi0Qz6izyY5QlPdWlXZK320HqGoxjgjacwYgPVxJ
thndcCiI1vMEDnn60PYwJelbJuXDA6/nvjWepsy80IlYhHLJxi7mFvevB8Sybj0kceOBKanCg6Tm
He1ilARofFLo7rAouXuq4xgY1jZtbJ3Oqg/XESlanMwBl7VqSeHOSop+zY1YbHleSgJrZXI9yBt0
rv3E58pMxRyqWxWM3fs5abesDT3FUk3+LulMqGKsvFYPFmpZkPSmjV4kkR/+aTs+2g4FAe7Pj8Nt
Vr7V0XP65xNx/r7vJ6KCMHGG0WC1+jj1OJG+n4iKiZsDhweH0QdKmu/6fiIidNQ0S0ZE+AGUNDli
v5+I6r9MdPKYMDhNHeaM/9Emkc3klxMRrIluqMQgoW6Y5YvzifnpRLTCqs5HqIAXo8Z2a6UkMhCv
0qLUeJenKTeQbBEYg0pIYxMxbQoT/zoRW2OMEsLUkytfZT5g4+Ta1Epv4Zw31VcS3Bq3cPxnkGTX
oPyzM7EFIdZEU11phhKgm5Obi8I038MS+H2SqRlb9SZaMfbVllYDFhgQPJaJTDEOEz36VsrTFtkg
83Hhjibbwhgw4JGAAFY1jL3Y2SR73FG5R76eWNUGqjhyGXCKgvtyoYuxhWJjetR7scN2frCL1t9n
UZqsEslhmsCBb1M/UV3DshKr0bGYqrfIeSq0YhR4H6GmKGsqu4M+pUuPKSqQ0hzznRV2N4oZyoim
mA0xgyox2gvpWMfm65AjGKoKS1kT6/c+xfETgyaceXqvZNvBt/xDqcfilvmqz0IkpDjX+JSH8Vsb
TOoj8jl2T0AAVj3lrGc1KZZCPtFkLjm5s8eiqCzNQZZ2RCzIBwPw3DqCPLYI6s481JZ1aQMovkZR
uR1CcSOVNIqFnutr2S4uLZPCFloadG4ZXwHBJsV2Spj56fLAvSES6aCExAtagorssS8Dlnyyluxb
XyjtOsgkwcEy1TgnTiGvXa+y970QCto/YPcKgAEsqzJgfZia7am0HSwUKqeZsS1bod5IapdGW1qO
aUcP5pwirIzUtJPNMI7sGc0/OczlmIslznuvOMlBZUWpBNl0rffofbx/Tq/fTi+Km1+cXrn4Cx/a
LKn+4+Qy/mUSb4KpjLzBHzUQyCNANkIAAARhKXOMyh8nl8VxR+lnmcxTyO2e3VvfT66ZqYNu+fc4
tv+4lvs6NJmZOjMjl+MTmYyhfRHlaGFaKkFvtccsMUNGImnkjUWGJvVSqP3E2DlyQn8yl3rYyyHO
xp5AC0NpVQWnI1MGuDIi0tJ9ZUeVOOEwNxjV2h24VTzWo1l1yPTSUFtDRkRtQXpwGjXstvy4Vz3J
d4r8aarNTj9bXefUuWfJZU+EkGEMtP8KYNPm2ZqAuE84WCG/M44e697BK8NqeR03pXMBlSPcBmMN
dGNg1lIRhZjY2ESrrkiMhZ7ESJSrod8DPBYrhAv50UqT7koxk+FFzg2jxMgfBi+9Xo+rFEjrgfys
Akls4R9jydBXmLpDFuwKEC170MSlYqkknnXFcJHkIGcUPKxezZK+GJBfMHxX62c7ooxJW2bzbsiG
ZxsacXujDhWz/DA3aKVSZ92H6YCSGK4k/tt1SiTMlT3JBDLNKoa0k0edHRsVmtG2rMZNWRxreAer
BJIm6cYKI+WmweiPjFt74WXCOeTLuEyVEpCk44TqkzazU8JpIlgmUTv1JdEJxuuqJtgKyqkHzWg0
mNsqm7YSAeRkZ92pg/3CU5pvK8dUrpUmklM3xmR4ATrIAS1ThEcxM2kCYURHY2bVOE5aL5np2Mep
QnGYVTnKRpHVbkhh+MoIPz1g/G3uOqBNwMzjHKREpBJVr6TICkJiQglURp49Q3oQFkuAgIzmrEVa
6TFVL/Ys5vp9AxOI/dYEWFCyV5UhxveB3nhjl1mwGwtGdgsjtqSLyDdlSJ8NwMz/x96ZLcdtpFv3
Vc4LwIExAVz+BaDm4kyK1A2ClEjM85h4+rMgHbllte0/fG9ftMOtIIssFTK/Ye+1K8mWv+85whvp
ENoTsfk3ISowBGpRgi26Gx7zVhFPyKM/QZTQz7ri1Nf8+OFWycBBdpXOArBt1Wu5xMARnSk9RAk7
nQpOAbLdWt7FK19q7KYmkMlAgP24hNsO7EX078n6HcACDexvTlasvv3r/3hAy17/uzRcv/THActU
GmEpmjCkXFhW1iLvR2m4eoChqRgO1dnaSPNHP0pDDljHFAbiNJOR8bfgqx8HrPgNjYKh00bjkfk2
5v4HzbKp/XrA4hjGagxpdiVU07bzQ/yhNNQiLc9bixRxGJfAoKmHtEnKYJ7LAjxVpFHEZNvckAdw
pXgVyP15KVx77Zm3jtvvyMC+sofmkFoKvWQYqCZZWDkxOOc8satr8nSfpGo+Oy6z5295hjA/g1Fm
D6INr1MVQztwCma7VWrfzpFBcnwLVFQNcoLiKh8BjQoxVL1a1vwfd00Cipn+eGBtUUypfUzUohss
actTGqHYIUpoCZETAWdjlL7mDBEAfDWvyUNSQi8Qbmf58ZpLNI7qIypl305lMOkkF/WwQD3xLc2I
WCOx5hvVzD7Bg65DvRG+ijpPuGTL9IubuE4g14ykoWCMSTDLAf1ReCBPQqCVmYOKVnnHDjk/WZYy
ncOEiXZI1BSJSelj0nBY43cg3yNKr3livTWcaTMtPNJieGiTRnhYRR6FHV3XzXqIGtPZnJNmazTh
QPBtOfilgqqXaXPjua2kk2+GS10T7ZmRd7glQGHtEI9WqT8V6YiJbXX3snbdLJO2t40mhZeafB01
4xKVy9WiA8TF+EGofdo+573ihUMFUyepz0MMDqVWdYyJDG+VZe49ohgZ3FapgYklJflTF4e0F7dZ
KFmAI2kmkjMKGkZ+WwbGJCJTz+pqd6UbuD4aBbRZcS6K5FrLh5PBxNgjDPUEx1zyot1Nk8A1cDLe
GmT3Q2C6FSI8VvYp0sXGuNgWcN+e4YjXsIrbk8riZ7Wya1MFH2XVXZYMfZnVJq0H+eROF/rFrXNs
AXKcWWOYtqdnJT0OVxo4YKxKaQYaJp/CoMPlO7tzvMXmcYnM8LNsRvaNirOjUhW+1atPZtN8To3G
9rWcKUHTC3Bs0S2w2bM2F/4SzVeg6b4yGK79Yux4DztxgMFF7qKwzv3QXScVkn8wW3a+vIPVz/Y2
wjE3q5+ytZTmkjwhtjEv5UDUcNq7L1Wm3vVW+9WpyUVtyk29RNuoFH7dEf3RK9tW1U9VHl8lVXWc
0+6qrPIbIrEzv+niYZeHw3QQofWxCIUokBTC6y4ZQhs+ejku97pYLlHTdjviWSZo+4QnTobgdZkt
5O1uspcukHa8nxbjprVeOoV+rhjcx9LVNnkandoViVb0Fm2HsYm4yodF34djQmiWNdxy2GHFAuyn
w89REvSmYRPeGF1/dizwopnTs15K7mzN9kIZ3S81AGDRDoyQZkZietvzoDB22rmRBpMWoODWyMQu
JxRg3xA1S5sRkwz+Dd088Mkpa7g7JRZAFjzFjTMrz7ZZflSt+pXc0cwjdeVpKaMz3iBYug2rdMvA
O6S2oY14on5zBoWFdhZfktnhmFDVm6JCTDCgX7qejJyoegxe6jK9D92KRRHznTHJ+mCU42etKraN
qT7LxL44ebN1O2wTuO9oiszO3M1D9KmcYTXRTW9rR+7Qf/lq3d64Cfl1It0uHVQCq6GWs/vEp7Tb
V0RvH2miHh0Wd7zy6LG9fNBUS98hg+x8UlIJvJ3TOWgU/UKAaHVjV+6dJbv9nJuJV+YjHV2ub/Q6
1Ta4KIhKsdcSkDFbn3Wm5ybNa0xkttdLSg2R5wGUpo/I/ZKQFtj1xl3Ge8I9gIw0IhqPtdwNJMCt
iuCLI2y1KIWM8cZlSjwIIru4aWxGlTk6sF75mvDtHCdrfMuKjrkVXbFfypD7JuPJVLQy4C9U7i19
vlsXDFqBthPtp+YPDiO4GZ3h4LRkDKGKCBU/c4xT7AIFQhH6We2W5MBxjKqWHUVkzlslbu71JNxh
C8bdFYuBDDnIQ7SWXzLY4p7SGbvWQjI7Ng1NNxQsXa/vB2s+M5ZIPcVodgPmPiurr6aqzg+1NmFf
nO9UWQWAgeTWEvapavBGasr0EC9y2E6D/p65A4kbNN5IctNgyTFT/tupfu9UcbH+dad6em//ZOug
8TU/Cinor0ITcF8FcJLv7ejvhZT6G/h+jRHX9yX+T+t92lF25yZ7BWdd/K/lzY9CyvxGf0UtAG1f
A+b8j2ZsNj/ZL2J9fENk0DFAAtmMfffXOqqOVC1e+iubtTDZtwmefifW2eA2pruzR+eVUMtp29QW
CHRKEXaGRecMqEPtRE9fEh0V6XUcVpRSjJnrAvtZSu1TK9Zg39RYIKebcqqvaiNLHpB9ARICs2iD
Mlo6hkBx+tnILZriUka7Wg3pfyNWZcA5uRYSXzeXeNt/q/4ba26HgxkqBVAr7Ru1sYjhRZGeDTEJ
BZkxiC7ptnrJ83QsCoK176OFYRHu3TDFxgirk9DoiKWEjVRtHrkJie1Od6wBm2BqQm03ZkILprlZ
dirL2qdljAeNVbsUS2B0g4x8qbvLTNALGjamkKHCyNysFSS39SIug+ziyq/1StwnQqyZiwBKA8FW
Z6ex5+/vMyNv3UCYdX496yLWd43Nf8uI1OVlMl0KFrBWKRv1uLIP6OsNNfj3Ef3+iDLH+ZtHNCmj
7r+bHY0v+v0ZdX/DZ2/xLGoC0fg6MvrpGTWIFBUY3qAKrU6xH72OoNfhH5u5kSO+PYe/P6LrMImn
1taZq6+YpH+0GLTXVuY/tvrVT8O4HbcPIYzEhsCc/OMjqoUGDOLatq6IQzPaR3wlOSV5KQv0GrEC
7NRhn5VcOicznmsM9uzvAKOqigG1d0WltsmKTe2/IVSlI8CpFlVLXqw9QuwbrI4HquvCIzUDik36
oiW7rXDO1DhooLt9nmkz8AUbV1KUjW+udhsqC6wPTfxW2ayK9NWUw7YgpghRvBm/Dk54tuB6Jv0J
L0+shc/MP3D3kFuPcDn/5vrJyCnzitUKNBIJjC0o5rsKrxpIXr2YihR7CUMwMZMQ+F4+kZJHCEhY
jvWbTh5cNNKy9KIIPa0ut+TnTl5VpPsmVfZJQjU9t+WbarQpM6DQ8JGZPiaR8kW/1KW8VCYEQpxV
CC6gNId5+KA1zm1RqYErx1263Gq9eJzG7pOgLTORmLvf6TD/ruj1v5XCXb3WfzJ0WL/mx3PIZIGd
k2khNVv36mva9u/PIasldlV0z7g28a/9NHRwfnPAcRnMgV12Kt9Ucj/uSuc3zWI/z6eTO9ZCYPdP
NvREsv76JNpo4eDIsqfF48Za6o9PYtt0hWmN+nJdrxBDTe/Z2VKBs6OWj1ra7MI1xBjXiB/Ww5s6
kPkuoCYwdTx1VpivCvLHlZEO7eJiLWArrJ7ogBCLjRqhvE7yrQydG6JW4Q1qgw7xXN1ls3uZDOtc
FdXOidw9hiLGDyyLHSDYdOIwJ1hH3QuLUWBvaO+KKE88i7TUoxldbIGjS6lBCjiNFUgkYIiy1B3S
uINqkUCFdfjJro2bTs+vLbxHmwGqu3s2xvwJZPIunGk9pOXe0juB/EKhA8nElxbKpyhHhiV7k5zN
KL0sy1AzeeJ1sLrsFgVhFht1j5DpfaFkgFpnrfV5iuOgdxO1p0avj4MaZYFes7AbdNv1M2Jhk9wi
tSx/iwCBr2feph7BrQJCyzxw4LuZE2Jrq8zTp2zfliUJJj26rC72WzPXDrqsToaKSUnDoQD5nW6m
ZcMWZvZ5yhAbuZO4b7SE1FPixTylJHg0wp10DbT9UE6DypYHAZbVWfmB0dMVKkeCbMve6/rwMyyt
h1RxrEOiGHtThjjniKEuzJk1koBGbaXTBqDtvIrLyWUNoT1lhfogHabq9mwdCDCdfTOq74gA38/s
NLwYSxVCxK7xqqQLD2JCM6SpGWVACrm97IaA2ZEE+5ubGyvKvrRaSYJLoxEZrSz6ndtoDtjbLIgt
NP0KNZyv9Jq6HSeVpSE2qYK0lrA8iEGx9pGjTt4EAuVQQyyYbdCko8ngROh2uusr8MR7AoSq8N6Z
HMQGIv4aKVUN2S1zj0tNV6Ll7aFtoodOFSscXd+bCrJCkJ0BTbsVjMA5nLGscGu0FyboH9VMj2Iu
00mdx+e6I8lPLMnToDPCSQiZ8sawfh47R2WfupyHcma2oppe66S3S++MJLFHu1UIVq682FB56idN
9Zg071OdiZiIzGsbdu3gaFsrYRLfmdAzCDPfpbZ+zgUSSNXtEUiH16OaPTIfwbNohYdIb6wd4ZnU
qBqBsy3CrC360VdXzS5xxM2VR3HAXudS5pDWrZHkN5veMEweAeM1aDmjeINy66uR1E8jkUJKlMtN
S3X9SrJVQL/1MoIs2Ew92DXkLZ4mRXYLHeNzXzMk0eyvTCdO0qqvFs08RQxNmEdZ1zP2gkvZFrtc
xR5Z2+JkzK1HTCe5wnp8Bzt1nWnJz7r9kCmBKZ1TnSRbd4SKhUuV7KtaeUhG1qN9lt86ia14etW+
1Ep/lyKi9UqFfYVFKqkwet+YQr9I0kBRxB4vSbXpw7TB4da5XpvJTR67F9slPGnMrpMC8Aneiha/
/2m0UWxkxfKZoLp+27OJQKzRWBS5uZJGhIY252FaDm6dvDE6QdqmYUUtJndTJ+l9n1tvbhs3AMNY
5ZSN/RQpTEq0IuQhrqBUGaTiFQ1nIcJP6MhdqcviOyTh3xt3VWP/del7fu269z/rT3+6c4kgWbNH
wKxzs/2iiiOubv2/Oe2+MT3/05/CrdIYveNCV1HMIVBnc/DjznV/s1Vb8B2BUXwPLvkHg35UdL/e
uRbLAtOywC6a8DZdVHs/D/rHwZ0VqtrpWlJL2kE8him6VxsDSSSTGGdLeOqXLDICmY5j9qQNGnIv
2uqkP9RLsgbkclGeO/gfS5DOer8AAa/X1M+pNIT1ZUbLgRSjbsMl6KMWLS9bz/0stMj9cNVC6+9l
1wFs6hPbDP2QrGHXz+tq4hxk30oL2IhIX6CdZxOTpgUoJUiEgfsuKPSoXQL2JKjdVi8Qu7dM2w1q
Bvq5HSPTesw14OZbgMZkcGs1XiYcx6RgjnI/G3JIPybDmbdRygYziKIUggSAeXUf4zM8KqGTvyUI
5XyXWS5Bx7UcAyVnXzsWCTK0mKpELRR0YqyM30aLJ29ZCsAuqkRQbjWRubNk/CEmhelj6XykJddM
X0RFYNf8GYFYyNtGKJXIdKdTHGE1c9gOYzUvkD73SNdY9FFi23a20dGK4fpGMwERFd/asKpoCG5V
905rEika4jLRyHLgDqiiY90q+Y0pSTvPZ7JGnbp8z+zF2hm5QTpzPJq7ruqTQCWYeJNFDKtMklhv
MhXYUuNilq5HfVM0zRQ4CuDzyDHeY7wxe3oIPhbImZGnmXj5q4jwGqG8UftEe7HkA9jOytnFbfth
T2GItwf9vc2aofOnFpRz3uv2rqqK7gj2P/V1JU4ZjeIljSpRHbNpBKyYYk4gWI7J5CRvXTckOsSt
iqBbOe/wBvBPtqazmYYQ29HS8mM6xnNeZjqtUsp+qDU5GScsrczSYUfXmLMGcDHMskVzC98JcUs0
4cJPCBVZpNZgj5Owl1iashtR3TnoxgoXtDnXwazZAy45eNDhXGZ7rmc4NGTD7/+dGHybGKw99F8f
m/fxa9f/SauyftXvrQpnIzAJzWEZQP6W4Nj6vVUx6GI4M8mN+L8D8MfM4Puxyb6SkYGpOmxCfz82
yWnW2SKItVmhz4fk809aFeu/iaj4dfguGlMLQyddgbP752NTX1+8BqZDO2HjIDXJX9PM6Wm0BaVV
o1zXsdpumE5fshyxPQLbPcFElHwLfoFxdt5ZdFywBD6YWZmTrwnNVRoI17qISCTH2Dv5sBV9GBTk
LU5sogrKfAiahY8I4aWzcFwkDBOMGQflzODeJhCqH95tcs8n1wh6JWKXp9WXZja/ENexi6QLyaOD
e6AkxbBP63bfuu6pS6MAZ/x2wR3K6CPGnTGeBfBZeyKcU48HT7ZmAhBXf82BMaOqf47V0draIYSP
uinkrtVywotILwUQ3x2tuR+3Tlif0NTuXSMNsji9D8ceCj7LymCssdVoZrTpnHo7CYzHeKnVk2Hr
urc40+IrJVnWSmFfu0b+lQOk3kkdcmhCXAOuyPCBtMWPvB5mXy1hDGB0vGQmlDIiJrKAyUXuxYxx
PMBlEvWaE5DZdIytHsz9lD+yM2O0SoDkgAYupl7alI6L8FdBkWj1F7fUHxoWZGy6b5M5UYJhIfFZ
FtNOXZwPsrEnysXydo5Zf5uO+5Km2p3EagwTubLZRRiFJ4XxsBTJS8YYB1wYvlMns5FO4nfVCPdo
1I8O5+M+XVDJ6Mkgg7gTHOShcTv08ac45eePKGlJp4DPIIimHATSy7o0zKDohvcqzQ5Kl/tTROm/
EkmAILBWRmENcY1MR6xjm6qMnxGd3M0tnVPF2b9ZjAG4P7dIUyLt7qVr+VPK1+VGj64Ou84Okct1
VTlrBBl/7x3VMMIWLrf6RRuSc58m5zZxkwPaPodMTvZRpl6yUOnwOhaKAWmtr8mzqq7K2D0jp0HP
jGUTPnJypabVS5M2SCdz5JhD0sK0Jx904gedRoxbWj7uG0290XUwchYWU8JHTm00HLqyfhyUcVd1
5SWuqi2SHBfAI/qkqBvdwBTYbESO8NJRx2c0PO/dqIM/m3cQ8aWflqjzS1Fdq5LfCsZM1Uy9l7nj
vZPl2149NstVP15CJdlK0kKjubzWrPJGH8M9s/JrBd8VpBKE1zkwkAGn8lARsqCv0S8iRaGjFEno
4RsL0QAAyin5pmVh1Z4j9ILl+yD8Qh0/KCMYgxWGvfbgPKpZ9zanWMEq58NO5+FQIRNjue26O620
DrHWWP4SmqyydImxDv/bvFOUOQqs2cCpT5TK1lUc1p7UMdEc90fM++m2GM2vg9Wb2yHOvlbG+Nws
wxcszSnBC+hPI2O6odAh8TIhTFz2gqTgXCcSwhpKvT0Rbd6f1sgRPwWYsUlmmIKbsugPVlmkYmsM
tbAeafEoqGKzpbYyZc2z1JTcpPZM8eV8K8ScUqEoawgKxUPsaJJizbCW5EopgZDcfy/yJrdVjBOx
CNVpsso8fm5JyRivs77eQ2/RPFT7ecDg0NwSQBttGnV5xSlw14UgHftsPppmOWxbpZ13jiJOFvNR
H9WKuRly8aWpKjYrvaALTc3nTBGOF48jqjIIkEej4sOM6RkdnEl9IK3qcx2ar3Ha6n7vwN82luaj
d2MWqjFJH2Y56RuVOL1N27cQHgh3kDVZDImLiq1WLowrb5VwOOE7+Mxa+4OJsTfNMsU8NuOAqy0Q
i8Z8jOXBUnFsu3b9mmTVnaBI2/Q6Ox60OzYar+le1dOrsHPPSipf8lj/WDSsFV1kfWRj8VSqia8s
R13OJOdabRBG7V22Km/UmIp79uf8lMf2Rc1y1Xfn6nWKFjCZRku4CjPeJlmgJ+jFlbCzxUeAFAUq
aAb0SDqYDWvxk3m4LKo8kQoWerwL9d4mR4J2We13BjZwrzZr33YT2Jqs2TFYKg8Y7hcr+qS3ncI7
mZLmpQA2cTJ34sVbglUydw8liJpqzh0a4STyJgLUrou5ngJq3HPt9PrGcTBOR5p9nUzlhQVu4c1M
EVwmzxRb+2joX4U7yYBS917mShMsRZQH+DFqtDDDYzgMnT9M5SeG6MdUyfgZh+V5aNx4y1Nn8hlY
qg2QPcVricTtXPeRA3qr1tDkixjoUGTsQaA+NiMDncSePXr/FTdzMzr1nWtVbwkX3Uaz1StT7U+m
xXM3It/ZhYvWYnxvDxGtA6cuHCDdYp8E5e7gWpLEmAgqJIzAXWcxJ0/M7ppslBsqkW2p908I2fcg
FIFcDTofwMGcgTQVY6BqToPQI7R3CqN+z2Zn74ts3JWKou0EUoZDzxvqdXF+rZJCt4HvchywY24a
gRSgmx/zkpG6rLgEObK2AE4iUI7aKS9d4cm1Dm550k6Rpt8IjbmJAmth05dqcVh0yvgxJIxKIh3y
Uts4mGZyEw/pkwLGYquUqKg45Djg4PEuhc4jYTk3ejsu7CGMwhfV/AX4/ifDaq6hYX1ZTINGT8XE
KJ6rLHquolr4PUPQsKif1Qpug9neT45+MlLFQ3+b4RyNT3o7vUZFvhts/d1FD85U8nbRbJAAvQqL
dT3EFQtmBLX3v2X390UdMui/LrvPVfc//6+M3vP37k/WdXzpj9p7XanjlWNCqbOm+QMAD/G3iySc
DQIgbjjX/xlZGOZvMLChZEIvNBAPWj+t1PVv23amGRbgM0LixD+qvX8ZWNgahkEW6QZ+eUYn6i9L
gtSxO2cqIbAPRbBYNlO6ndl8+umN+T+X/s+sbcr1P3kVlhqAxi0Ti471i8C8CdGsWIuVXvVVmuR+
5agkPCCqc7zQoNpMja5Fr6trZztyMDmTx+XlS3gaIYHcqXV8mycERFlxcp5UdfBVRuae5gxQerVE
9dQoPkx6cRhG1EWju68H7YyS6Jaa6tIs1WlujWuEAkc1ZWpYjLjGUrVxt/ba1ZMzLTeJ7n7VZvjE
Iiv4Q25IcqCHD/RaNB2loIgkj9p1MW5LrmqSlSQMPXGclKXYhdNs+73SYYF0dbTfw8KwJuNg8Frd
fAqBJexI7TQ+6zikN4qhGrtEzWIRxENTc0fLJvtUVRpQKTzOch+5IKMOmgEHZDMazpWQnZx3NtQr
7HIOibK9URvO06I3Ati3nu9aBeXbTqsm8Lik8THrarzBKggyZZGDWNRpdOXC96/9LkETtjKDK6Xc
OZWZ+Axccbqv6onWdpK9kZvZcUCF7dzwep3x2ZKR3Z3YU4wV0yvjrrJba76Jse4TaSXdk9sK+zhG
Q/Syrsk+jXaMGCOXeEv6cjAPDtp7ItB1gkv3DoMwquupcx8pjhmKI0UIQOZRutdz7OUDLD3ACPIw
6tZ45Q6DHfS852cIUN1rF0fYrrnq5IwB322ongE8B8hXWOsSeHcHJPyYqpQ8bqW5dyjTGS+ngOgc
yV1W1QWOgcz0x0pDJpJ8cgraMv7qRl9wtQfo4HS/Y3+GNGNOjoIcvMDu5bLr+1zzShdlaxePMHVk
0+2EMe4nswRnPevdbYT6i8FOcUnK/AKSqtwWbXJrVtbB4fT3Q5Hvq4QAuchQbzp3uu81e3wEcux8
QFbfdGTXi2kWH1Uy+FZB0kjYaA+qMmwj0ZNAV2WBqxTbzCGHdHZo80T9tev69zJp32Uqn9ge+60x
Ht252HKA4ARbduasXqQz+obb71HjnLGBY3wd31RruDSFss0njbEP7LZBfsFEybjoS6gOGuG8ucHw
jJyszBpfLJG85YswA9Fl3bEfuaKVaTnrhX4wIv0i6sEHyPBS89eHli33S8cOwlFsyT/bD+ryMocd
sa4EFDZqszGg4RFFVqqIl7F+ajL2Ldu+4Xe8s0gRoxhcIj9pQ6hWI4GosSng+IT6bZ+XHd76/hTp
Mx9mEHV5Q1HIDc+nrKDa4iFSKxv4IY0QHD2nNtDvVp+Uhe4EqNSgR7dlU59t/nvU3XMxjLexmxxz
vQ70EJBkFM10B5kGo2KqvaFl5xa16lWmZJ+rTPtcZ8Ux6TLUn84xHbRbVL3ocGHf5fnFMlNSlht5
WmybESizOQegXZPZ+4GO0G3rBJElSWPLdHSqRR6apSyPIBm/FhI5pBKjy5MRgXF0I9mucen4Ok25
W6TSbP/+5P0TUyIzH/i3DqtO1s38+4+TlVhqxB6KHL5Pk+nBmLsSijbshAJY4rkvjMm3R/h0VVww
rFzetbrpbpsmUx+cxck31TzfEZF8VufQz1z7kzr3uyYWH2WWRn5dg4wnm5EoTaluq4XPdE7udhVa
nTcxB96YdDG+7fR7IFJvgDUHL0m7Jx2jZIAonCg9lU1YXnpT43XzQavp7/uwhHLS7nRC/XK92nWF
/VXmxT0JBscBwNrS5cdmwIVbV2en010WbxJmkEz2+hxbXkfSkgiBD8UsYCNW7H6ndnemHOiJYnFU
Y5fnGlkVaQYavXY7P6bJaG5cMRDzLPVrk1of5pDAGplkl7FeruIuPWSTtbNArfsJMIywzNwNEkqU
uQ7FHdxTK6rPeQTLzi716ySfTvlQ7LnXCDWomT1UEspM2l5naX6H2T/ajCUx5aJUEs9Yt09te5MY
pLoUC508m7RHU5o4E+eEVZ99SkY+TDMfUKddtlnWrCy/nVYX2Jq0l7SQfmGQROiae8ZZF2ZSXyt3
hWKAOYlc5WuoCaT/eoM6FB9RlhfaQanXs6w/J7Z41tV8q6oS3KOSvchC17y0kxk2r+jaWCzNx8e/
olpTZw8OcHiqGDudEKy0l5wB8uHvP6qolv6gG6IQwSOHQknHeeGY7i8lQoqrHltXAVaPdbqRHltQ
Hn//Cn9UJvEtDZvtDM5csApIoVbZ489DRkPgwXXcKLrKRbpRxHUyJPukvmsnlNstmA2BtDgN/v41
v8dt/UcP9d+vuv7eP7mCh5qu3DQU5aLK8h778OqRKO+5FZ9ZqshNjPqIptH6JELjMA4ghMcZw3xe
TiuTMKm8sl2eK8U+J71JyFkRb3N30t6c2LQZjKSPgs2lH2XyZOfmiwhp7rUcHhGfprJi6maXgVMr
ja/Vo+PZpZSHYbaNt6pM+63JioVg6eQLuUVt0Kgi9jmBJY28AJcyuPeDmS87zsPHIRr1QxGRiyL7
r/BD91xKD13bbkU3dbRv6d5AuhykKhVKPpXlTi6D6jXMI/12sthcJPPdyqMp4RpiBI7QLbiEGHTj
R9MxIYDsc2hNZS8n82Fe0k+mmh2tHsRYu1r8k9DAgtYnNOGDdciW9ISNzi9lqPsGEXpcMBmnrPpp
VMmqT9Li4kCxKVsGpOHCJ1gNsj4qMKPVfpXCSKmX1PHbPLzUSKEBBuy1SiyeE833CDQp4FhQDz1i
DsPoVW+x+51SAzqGtvMKnunSqsVtg2607eeeKcVxtKCyjZZBy+9wImraYynj/RwyVRjb4aoW3JFg
jA+sU96dRh28kHDfxjJ3UW2e7Sn/3ov9Jf/qm5Ho7z5tvwzSJ5MSQ4c2cUnP5U10pWybU/M07ZaD
tRdnh6vH+6JPG+uoXcrP0+nvP+sr++unR/jHRx35ErpEHRXw+gD+9FFHOOqUGfSFS+1bm/Kse/UW
Hbd2Uj7ZWzVQH68V7/xpDNACjK/8T34lz+rmmGzDK4PEtf/PT7NebL++E4ZKeQkRgDbK+kUqLBkY
IaBM46tYvYEowlj3Uzt+3zj95dv9xzPr+y/882uwV/75FwYkNShxjD2kat6jdu/K279/R//0d7BZ
2BBh+c2G9sfvT+r9ohDCy+Wt3DTgq1qLmvP7CfWv2GDNOf/r9v3y+vX9z1yF61f93rmT0c6BbJka
E6hVUPvT1kz9DdgDvTsdm67r60Lth9LW/g3dnQsUh6sGJezPYgPxm40k1nH4AgPoHU39PxAbmGL9
eP3nI47U1kF6RXqVweoOwsX6Q/z88UNGJTs8JNF16Ba0s/Bd+w42QQ7ylSTFTzUI2HpmMbEAhbVX
OmxZRFzdw14FG2uu/NjJtTgZJxATdn6a4UxsFjclo2lElMCMcz2vN/1KpHVA0xJMDs4lcVkZJPUX
bahh3jjDVY90btTGFwHgVgN0a63EW0LVPgs39xWahyeucnVfUr1FxRR6dmiNPj92tR2A6FYJViOm
ai/ML0u/WUm7ED9ZcyvC3MLl/xin7h3VPYzLldDrVMzf6bLuqyzGyVi+LsB80TvBrFr5vpVFR5ch
qLNW9u8AYxMENSnynV29OQCCY0DBhaXCZUPA5g8tFOGu1m4UsMJpHl0qMMPpyhtOWwsKT6LfWGl6
o5bGvEmSvGcG289eTnWxQxg/QrWZvgDMxefNbmeTxQ6b79hCMqymD+Mob5ALs6pQwW10Ro6sr3Dv
O1DJRaHdduXUbtMc/LgCTjkGqxz386muYhVaYEwYGejlSKtTOjRozEh7q001WABUk45oSNK1H2H1
4+eprIFwIjuFKAjdGdtEuiVC+SujVXmMxhiLX6lGfrdyoQ3UckENKlo0IKNNloZyCMNbufKkY7Kn
tjLiNnXzwt1EK3e6XAnUlcBNuGYTJTZFbPNZ4h7YdZGxilBimtPIhogK0ho0DpYKgNNQrkNY2c0S
2DYEbOriL+wDQG7b9G1Y3IsgX4nZM+js3MY8F7X1JcnYM/FNJfxb0i1X4rYKejsJNUysK41b15s7
Gr/Yt/Vx9tOV2e0MSMzVlePdIsDyomH5MrQqfsluoDxfud/pSgAfVhZ4kkIFJ9jwYhem6zuzeG9r
orBbV7sqJ8RdRs9HmZ5u9qMRWWsdMZfSFHFfAiEfVxp5Qg/FmtXO9303s5OIpnsWqN0hpOvD0skC
rghX/Ufp+OpKO2/Anocq+srGzM09fKUXN9Xf6HZ29spK1+fuohSkjEaKQ64TQPUlbt5Iopf85du4
H8vOFbeqXHrzqC3M1CjQLTrWuZVsWKb/Ze+8luNGsi36RVAggYR7LZRjGRa9e0GQMvDe4+vvSmm6
R602N/p93iZGoyFFohInz957bbDy0fMU8pk3UrdkeYIZdMZrOpudeeOM+etYILIELrHIoKWsnLT8
08R9m5vR2BDgQnIYFWSy7GY4uSUwo37cjRm++piwbUCycyWi0D421EysapcWdBi0D0sZXBqbtOrk
IRuUxbe4q+8NM7oqDPc4uABWuuS4LNHO4OIcadFZT4iBljNeEpmxDsobeaeX9gDwvx629SSOrsnW
h8vgFSVkxobd2+vohft2lEd8Od/sztm26ayOJmpZg3w+4Gt8N9SQVwvlDJ66kUaywT7ES7d1AdWh
opPw656LsB7K7RRVcgFH2JT35ti3T1xlRzYTBlRcW2+HZm/GrvUGfNE6dG2VhTdZmIWoBLUm34LQ
NoJzYsXpLvfSbt17wbNgM4F8aPBoBEpG4XnZyxJm75gsFBTw3G0saJ14kvXXXvb7BRYPcrS9j+wl
QECv9T0yDuj7Mrh1l+UyFX3nU3iz+BqtbpkdMmbDONrkVczxhLC46cPkW9g4tw0Z7b02WtuZyNKe
WsCMwgbnjh0P+4ThqbaACPMp3rkBMSCvhw6kLzeejI99OkMGrPR3MXGOl8UImyO/E6PI/K4LWhXz
jHnWgsuc6gaCJvWHWB2oHMGklV4VCiTdmsW7Uw4obQbSrQNtOk6TDwO6aJlMHxM06qJGolzgUwcS
UDX7uHTlwK7WpxOW5XUORdNiQ7SQi0UnGtxLqLDXA/xrGw72gjwaKDC2AyFbMLCthIJmZwqf7eTj
fa6A2pFCazcKsl0o3DZ1BTnO1piQFEGqGSa3OejCz0fsRga87jixML01DvTJ+qZUSG+gIGybKdeq
I+NaKuy3FQK7bxpA4BDBU7u8KSGEaziQ/VK3nxN3+JyMQMRHlMFRYcW5kx0DqgOt2sUKFV8QPnPf
gEReKSQ5mvA29nSY6C7FCxicIZuHaNqlILouTgUsC9/ill3M5DFZTTkeDgyStF/twWu2o4Kim6R1
E4VJzxUwvZinLUSgg+xAqfcx6fcYujpNlpzPpiD3RhmFFt9DxHuve+fKwIyVwlsbwLSnJr9qHZBc
owjuDij3XIRfE8/bWyDeS40/DYC+dwP4ZyDwuRHtvo9R/5snLfYFfz9PPvQla53i65+1IPX3fpoo
lQ3LIRsirB+Oqt99WPonzE9gKOhDgscDB/n3idJVCDNUIGH86GrlmvCbfRVtyRTKMeWpmIcKmvyL
idK2frlwWLAjdR1CsyDQItmU/HKhEfgvc63M88tiRQeK1QBsYVucUt5QAGS3A5uVVRJkZ2KB6dYy
5Z7l8S4GJx712lVBZt8bDUxJFMyY4jC21Xvay9egVaD07jwt4hSyqVoi7KgpPSN+5ISv7Zzdop6m
GzvP2XjZNuxyYO0BTXH+IsbsmM8ErbOUocjNO9RqMzr2fenysSKGHtFF6JUe7F2s5KRbPpj7tmYg
QBiXl6qxCCh4ycsoBmUtsS+uBQ3V6Fk0pmKML1iCvthlieMMD4i/UMnhx0MqrpChT13nXJlB/mDO
09dZLudWeh9Z0D6MM8caw+KutHsa5Rc4s4N9sUrnkHUZ1K3IemTbs17K7m3EL8ubZgCMqOHg9dwb
6TXHLAfYMabXyZhsK00E6DXEvBMn01ai0Z49hcMol4rcTXKKGuowlopdCa+hq4LoA1g1eiAjm7e/
RhXnRKuBNfQniQ/ruqpvwWFs8zQGKyAujuVte3O6g2RJ5REWWbMR76aA5pFpL4MMnrGLbe0eOq83
jBb6T/4Rz/1jpdFMk1MKCZInuZ4HfnR12t+yAp7WbWrnT7W8QpdyVckQBzO0BlpqdHcbjFB8csse
/bkf7qOZxag9xtvYxmXV1cVTz7cR1Lzv0libmHroi4lZUzau4NCdwVPwe0gSOvQSndaecnaZalCd
YheTyxh8kTXTMFnVB1nadxpUVF/r7JOXlwEWXifCrMYlIG6iO43wBLAlebJKdPqpTh7coPjs4gEp
gpxEefolKZqn0COpQIJyxASV2vsqELQ54VOGxTSFPh66rSmJ7sdO4GdlnG4rRJrFo4FxSXe6HPap
YWabop+wV+Amc2FIraWtCnic6gVj7sYTGCXoOsfpmrWxjwltXBWTaPENAqXU8EKulmmmyYX005l0
/WO9QACseteXOrFarkWABdA11nlf9NiXy6NeQlLCY7bt3fYltp0TF9Q73rFAUWOPzimxLPRNJT0G
kwZ701zwZJrGW1XU9+7AL96ilmy2lmuSXl+CQRNrc7DuvMq968dgP5pYIUQQXDmp5q4sHnoiW+52
QgTwyfJQiBumdFeOzbhK6maAUjK/w5FpfavVQkg0/O1Oa9CKtDVxZLLX3FpEBoIEM/8uXox8M6d3
GLxFFEgcHss7Qeb3bqCNbxoe0gw6weTegE2mHipcpD8aFHKZsfYE7qkAj4CTniEv+j7txfW4qtQE
2FtoggVDIb/X+SBba1NyFVmlCOs4ouVXNWZnunaeCGNuYncuNozU73BJ9nPVWX5pQ7XQnbhaYe9w
VnMDjsWomTkcVq91i+AUGKHnGyZk9HFArRm58a74778ZGZVLs5UFq5RWCjRP7a6m/6HNeSSknceH
0nEeq6a+bqk7xHAuvzKEXRxaL9pksnE+ZnJTjMxOtqCWR1+aUyD03VRIftv8xI91wT8a3yPAmK54
lXlWbkuNMziMXTqNhoaqijncB/j49ki777UdlzuPo1GmmAPNXvOjSJ6XLrq0GCnxf6sUXGzej0k+
QnUob+pW54YrH6qFs7KE8hXWhg80kLBU6byHpN0qOzoY/OPWY8xlmXbOR81ehI9sVm+yBDdYY/FQ
p23wSl7htenqO+qiwn2YaRTuin6Tc8Bxh+3vK5dpq0n5/ZoaoCHF3R1pZFmFefOhlu4zp3wZeRcO
ul1YR1BHZPswB+NTanTPTe3Cvkn7Z+kt+l4YKHC6bkSIQMmwjl30HuCJFHmENY54Cm+bNrkvbHO3
VH25DlLxOqYohl6WbK3MS8i+YW43KxvjgfE02Ldje1iClzE+ysi8pX+JS5b9lGiEb+lqtQUUSLso
r42K5G+ViRZysP1VcNCDSvJuhpiu5VpqwV6zMHU5JMY2NND2q1jKNe2pJ+4Ud4Nn7J0p4/glG4dJ
/p6OqmNU0nwZh/0zKnOy0uvuUHfXg42d1GKLEDoheQMzpjXci3dG3VDX1MTPwAx2EKTY6moc/0QW
z97saMzRPaVv3USLK8oHi3SX31aQb8YqPFhMvPTwuBE9m2Xo1ZilTKJwU/mV5r7oPBYd0g7AGct5
TgCL7xpCI+BLavpwRcTUHNHEwb0Fj23odugE+CY5vw5Bt3gXYTYYQhdtoTCok1dI/9eY+l33HVPj
vFsm+FbwSJH5wOWTkQy3uSXOBntwTqODjUjImhh6DdnAtdZI8yl2Kk6IgaAGFWX7qJbXUrbhnu39
V3PWv8Kv+eCVw0U0migJ09a566wNkpomcyx3FFGu0yn7jGZXkD7kCqonBlKiyfEQ2i/RlA+7mTLv
zVhHm1q0JZSSZWsPKHAuCbaQH3b1gZNVyECtGfaaNhrXTNwXs8LRFzPD+1gDH/nx8xYX2VfIMIcB
WPq2qqfbprV3idu28G6cYltMeorNW6/QChHuoA6+FB0JuSm7t2hRtDPrMffoaaiTjoBJejVKe9vE
MIX4nOAYnLaiqx6cUn7mcL3pvLHw6Q1gAcG9hsJ6zAyV2I1SOQQFMCIlzznULRQ2bkAvyS8Onhok
8qjf0MI8b5qp43kYw2zNJZTeJrvFAo/rpbJlC7bGeF9aePDZOO6cmJwSCt01Q+5L01SnyckcQura
RsSTb40uzQ3JdhiNO27vRz65e8fAMlGP0WMFXwdLbHYeBa/alAangMtSVj5blXgBa8Y7onCeW2M6
lxOkHTCC9NhoNDh7VviUz0CxhZZdLfGhkc15CsNtNRrpuo9dmicq3tGa/dhXw3mZyAgVGBOkdahT
kfFr58Yzuf1+buZuU0z2Oefy6Ns5B6EW7WglstcoLfu0NLANLVR3myaCDzQse+GON+b5jQkvcR12
roa/AQfrEFF0iPCloF/odFYOIrdqWT+4S7NvpUGDt558ODAEfXfqb5wK+o3XDOUu9Nr2lNfNjLiF
/Js4LodSsEupNNx5+ZgwcwYdHy4rcxf5YHfawY6dfGdH5ZXHtFWxTDMTNpwD4N0fouf/rmMqQ/L3
17EbntP39s+XMfW3fruMGfonxT2FlaHgf2hEP633xScUaFIxOm41sifcg/6z3if5Ivkj8oQO9xtY
g+jUv13GvE/IBEgF1o8mm38XioFR/et6XzJmYgFETGClbMpfFCxU+KIwwQRfrGzs0n08kCWr3To9
cwPz5dLecrQ/B23A1NJlu5GyM5wo7SrHSm8RSfaCDHBrOj02XcX+pmxubR5Vj4hIH7CdyCfaNkFd
9XtqQl/LMDwE4TZyw4tIPDbh7Jl9WgYB5wiuIGlr446bly+ZQr/MPTESGbivhAxBUZkaWvLYvS5l
vmdwC9emNdzEY2duGGRi/lw/LgMTk2FSdo+MQR4yeyq0HjNeo3+Nq/bbuBhfXHRWCrnSCOPcdJ+7
0+ink3yllvAZd7u9wuCGsR43+rB414U9z0cNZrYt2Ktg5YbqGSRr+JD8D4P2mxX0dKIs7edmEBBO
qfpiYQSQI5DGOo8wQC2l+VlPX6z5htjIQuOrT5l9s6eaIKLqlrqAEfyY9K1Un/IVe2DiyJU5j4wY
JD3eRcyqexNPTU6D4kDFl4q1IZ2r4Yi6vE6F3nSmcLzvKghnIAzoKhxnGkMjCBtxJZxVeI6LLub/
JWtuBxWt45irV5WK2xlgjFatiuBFKoyXq1heXmMHXgjq4b0C86fCe1j1002nAn2TivYFKuRnq7gf
Tggu6ioCmJAFjFQoEHxIjoNRxmeqPJL16PXtIQoHZzepQGHBjrZd1ypmqEVmsBNp/81QEUQqdHu/
VrFEQT5xwBuwwsCh3uy4ngWwVOorCTRS8fzVUxHHnmXbplCxx4b8Y6aCkCC7sxvXhJ+ADYw1uTbH
XI/gZ0sVokyH1tq5Uf2VcJa3Y5Zif6lCl46KX/KTW1g4EMl0CW1g0SGmGegq86Sim4UKcZrf85zI
CymPEyHPai7ILKLdrFqVI+Vwb46jioWGIwFRL6IqrNJdc1d1Nhc4jnyW5Na3GOLOSpIxFVB4d+33
3KmuIqiJV/HiRO370HPkryjIycyr0CoTLBfjSg7ECVSmNVHx1qToCbqqyGtD9h6wH3uPTfQ9Ezup
eKzHgiX5xgZg3rtCGLeliotgy23hgS96czQrqpT16SEDBYiMlCGjc/OnbK9+mjUv9PUl6FZMlyUk
A17LQ/uK2/05K4kQ0WMwbqIc5NOQlyWXaILCzpw8iaK8Seo2fpspKloZURid5t6lK6bq8EL0t9DO
ufDhEPPLwqmvvN7+GmXDW68H2zF0I3/ytG9j0qm3ePxqaskhk9mLyiHvzFYj+ZQ36hDxzvwornow
4yWfU61XoI/cfcCXeFOL6FCx9qRbGYipLj+z5XoeMm1CCZhuuqVxr9ym2ZdLe98u3iP2MvimHYH+
um82g4J2AjWYd6YBWTQpJlgieXEcaZxr3Ogu1BucjyGbB0Jj9dEi6cKqQ8WljX1cRofUCS6uOZ41
mkRUJtDlk4K+UfCwreY4K4ioePFH4hbFm512yT40B0YqCSVxIr97oIkJo5VNIkZa+QdYU84svS/o
D2K1PGr3dtuOuwRk+yEsej7KWPU36Ty6fEsQR2c2FNtq4kwKyjG8zcGrraB+abffk7+LHgRcjfii
ncKVgQ/1djpWmLsMTWztGu3AAqDpd21Crk2zJm9XScE1IolcPtpIEHrgzNAPWbQEbWxCCsvlxluY
I+zG+tbO4bJO5XI1d8lFL+ghMpOT1U/5xhx1AzGQu6qpV8EWJjRtAY6lQ7MMxJrmzXJv2JOlbCur
OMoWLCuxsTPMiaM+4buNcj61xgiPISuYsO1IlSlXnFK6wpKNBf9SqxmsfTRAk+lJx+20hHx3khP6
q6Fd+0DA5Ypj6j/+rv+NOsrl8/ejzvm9if+KmsBf+n3SMT4x5ajCHtDrYBP4o9/XzsR/DcDvtsUK
2YAm9vukY7qfGH3gwktgXiwJ1BD026TjfFK4P0k2gY2vZG39b9bOxnfn3R+MDFDJwDpIA6qZJ/g/
/KORwSXlQFmvvlzMPHqqTZT2DJMcPZWcjmLJt25t7wTyhTVr2OO8J85PHreesGru2Q+JK89m2V3l
SbKpBzdo145D8fomxtf7yDUaSr2h34Za0Vx1SHA0RfOW/jCyEoGuEOYQHR2wwRynhU5pMAHkfUtO
c5P3CVvPojKZSuz7MVUuMbrPPQuE/VSY6yoidFlP5cM8a0+lVTyaiPEr3UAN1BuUbW2+RLF7EI65
pkz7c8Om2EoLNjCJflclBokm7ckY2mIdQUJaBZ3ymzYpinXxbYbOTNuO2AbSCddGg0/PMqZLx/62
zpCprcHs1xRYfKnHfFl3OuZpb3I3od5RxltGYptSKsCZqMn5apwg+UZjeBQ9F9oUPUmwQekdHwiP
4w95xKLOGI7NUD1HuveqSYeiuMy8TSlE66z8KY1BpjfJ8tixVRx6UV2LYESlLL8ZusDkFt95zC2k
FfJTFeZXIp+f0rY/auVADx9mCF2bQQKbZk893jCsNC3tViZg3rrVKlKCtk9Bq7EODLxxFgayiwEc
ApRAjRGyG7NVVI5+p+qVygS7f86LeeOm6eIXU8UkpTufozk8FKaYd9Bh9FU74dl3DbQyc0/Y9BJk
NHOYjGZ0BDR1RZDV7vNdZ2W8yylAvjK7xm9b69xNZGrNkug0A91W6sFHygYyzSZtJUlI8955D+0y
/R5gLTMPGzin2RixG49M7V2HMe03AwFX6Le0i3tfaWlxzwR+ho2rt/3W6CP7lI0m27GiuY9aQgVG
l5dHYYTsMB0vWS9Nr07MhY0N28FscEDS5IL4GmW3Gc//NRdi5Dx5pdXtE9EglBfjaRwIe4ZRq6+7
1hC46IzkVBUlxgJEqE1kMRYHQ0K2e6L32WRZxRpE6NfVZBq3saGcESTkPFnhvAwPOes83nrGO4Y6
a009THwBL8ZWnAKE2YXO3cGdBpSRsQ4oPua23BpDTDiNEi2vSzdhxO8zyebsIpnW4yn/oSv+rdfu
r6Qp6OnA2JHIoI3+YnaqzInOLM0Tlyx/TOUXi+T1/2dB/osv4eHz4qbFGUnh9y/mybkKp5Zsr7yQ
Lu7Tm7l6KLzT/9TR72E54x+v4+odxZ70/c8XcvX3fntNAfcxdQfpRjnBlQj602tK/2R6lvnj9aVw
E7/dx03nE6RJAfr/P2UoPBf/fUthsuOVxh1ecpfGH/cvxFFk1V/v4xg+MZHjB4QGrZ6QP76lkkZL
DYdKzUuuLzI4R/Dp3iahEy21wLuFNyUejcPS1/abHUkuk55W1GAmJm18bRanffIiWd57XmwtfmL2
Iw3JhdM9t2YvcK5gf9vYEag6ieoxKfljUkJIpiQRY7JvXLfY9aG49EozyWaVUX43lJiCtdpuXS5/
CC2GUlyM79oLIsw0BBS5NQd8zQT8lU5DFIjQvz6/p0rDqZWaQ0xG9Uij8MxK62FNohqgUagKllhW
713JsIFEjURU5fadRDLKY1usU5NcRjBdIxqEaypY32tkJuot32DZozspBapQWhS0oWXnKn2KFBnZ
DCSrBOlqQMIykLJSu8hOOeIWiXuMSoHhrmWLNCYbsAz5WLl+hSw21NVjLZfqbLJsW1ECILiR4a5q
8rldUVxH85zS2DoAHv5UhNmp4DK8IMSBvh38VrCN7fXm69I284YyWubYtt9nbbLTEfQE/p7KcRIs
NJ4vleaHfXOLeYLaJLXIY6hFIxxcax8X/Cc5TChsXvlUICRi5Lh1ZbR2q+yzSKMHWymOXZfIU4AI
GVfabaxUyUHpk4FSKsPePoWkRP0yk3eREjMb6qNwoSNDF8cFubNSumeqFNCiQJXCp5awS5yOhaop
1kfI8mWxy5SCash+8TtE1R5xNVEqq630Vrw+G7vqlNQw+prSZCPEWalU2l7ptc536baRV53ScgnD
TVxC+ttF6byWGV0XSvkFu4gjEjG4mZOPQKnDdsTS2UIwpoHxGfLli8MSyWAgyXLI85P6NvThTpsp
ZwmWS4YEzRV86wU3PKwlbWH9KfPSm2W2oUyiXRdKxW4mClilUrZ1JO7O5rETiN4li1ZXqeCR5j5r
Dh7OTinkImEZrzXxNkU8t6r8YiKmS8++GVpcdJ3S2UNHbmGOv1EvuI4s4zFXiryNNF8h0c/xaPL+
ZzTxCDwNNcMjcr6bOHgGpnNj918N5P4W2R9MzSlRPgBdOQK6zOPyq1wCIIu+ZMo3QPsCst+U9esK
UwH/eHvVjdFLrfwGQs8vBgYEVs/bGkOCpgW+qxwKjvIq5JgWuh/uBcZO5WdAym/Q8/A4aDoBc035
HqzvDgjlhaC+4B0AFFsebBKiDV4y5ZuAgwbQCyuF5y6nDGtFL1J8gGzL7PydafKwWHxRrBgJO7Us
8K6oVUYM1HcSywagnXQbY+LolZsD0bHYzoiL0lBVSVg+ZqwfXt+Zx1g0xW2rWrIP0yBUnK0YVrlh
LpQL1eQLE/cZR0yGRTUXLG3IdoEmgXmAWZL8UlHCl56kcTPN8oCLXVxHfLB8fufWpXCYTKwBeDcu
v+l5qYvwroE1eUxkYu06fgSbMdOyvXCgxiB5ONQfsBHTV4PdRftOYw3BJoMvPVe6wAdBWcb/XtPf
X9Nqifz3V8kffTur9+bjrxt3/viu1g2H4LrahuM+x+T0+5USJ5PDzRH3hCEBxv93eW5anwQhRDbr
/yFH/bQ8N1W5o83mzXQkN1Lazv7Fy/qPwQwFoVaUeoMlPXdbZn2+u5+d8WYktLGbc3kd5W9Lez1N
rz/9WG5+XE1/TrTLPzf6sOkn0c/Vlz5dy3L4R/78FfqglV1gTf11v1gbw6i+zZW8zoLkzmq6b1zU
1g3tp+tcsnYSWnEFM3bf1Mmmd2jtQtIqd+Vo7gqn2Wut/pD0MDfa6otGnp1A66m3oKW0XTquFngV
YhBWCuW2q81LmLfYHJWdM+SHyEFR5zMa/rzwItStq4mrxbfR0mnXgjcP8TZ21sAosi9kxXErLAKD
AutoyHeh9pLQ8gEyQ36m9jvfdsIJfQnX9ijYL2LJdy+4TLVN5jYvXgOxkO0ByqGU400yjWJlGmW3
FQ2DytwUR+6Bb9g3TgTcOB3y+TRywu5hauxh0i5rWqgfAivbmSC83Cg0wfsVb5o+0g8nJ2rOtUvH
BhtsybJse2wQIS8wJ6F7W6cCpPbeUl3bF1V/6Cq9BLcz304pqdyFutZwadZsgA+147wHglEAMzwx
em3dp/F71waoqmqza7l7Ohwv2sJfL0YspcZrm4acc84emOdJFgCDGmM4Z5xuNtftpqr39kzrRim9
pwSHMX7e7KYJuAK2S3TsYv21qiGNzyxEpSYfyIqDFlxM9tGLvI/Ngib0Fp5Y78ZXc1Yj/SWWxQvE
3ul13K7o/nzrpbcZdeCp8AtWbGGHLYLPYUKf9OTwLEtQOJF1bbf2a9stMFAYGHKcE32Q7xw5nKOx
uSpRJMIpeY4G9iG5N+5Jw58I9N/boiQMkmTPRtE+icAhXdhvy8Y+uFg+tKl5g90IWKjzdprZvpb8
4zHRg0hC4UkZRCml8ZvAWpvpdKqI8jJihBXrcZA5HanblXQYZWznjU8Bdv3kNQwC5lW2Jlut73ls
6m+AVPYuirs0qzfliNY0/b7FBI04naxZ4fi6lX0saXCb5vSJcIc/USaQ7kSIPVtqDlUgoJKrPvLD
GPianrN8FTmQR5CLqLGOdXantjjEsY2BoBLD2rLvE0++9FVLJtdgdsgq9elJIAOJ5Kj1+Ibx9lCZ
UsN00IR1N7nMw/3cZ0e4NfSc22a78TIWGQYM983Y2tdhZ9ibGEsI+Dxm3DpwPxqvGzYRu2wcwRWF
K+u8Gdi95LNGBwRJ4vh6amL65oj9rT1+FHCqqtDn3pDiGCyjtSR/QrGfpm+6BQW+6IL0rgR01VH7
ox/hQ6kcOc6Fujl23XSpZNVe4TGTK4gQTBZG3e6h9SWbMO5PNo2NqzatyEvDowymhYauycBxLLNq
U3Z1iWIUZxcHFYHZgPJ5CqtCPwiqz9YyPzWB+e6k9Z7z7ZxEIvc98j5rKEGnIIWrIzJhrVLbmph+
yvyexZbGR9UJsuc+Le7GARsPyiVxaeZjA4dYItemI/p1WRVHAgwciIJv2hlvi56W6gozGGfUIaxh
gtHojYGIub47sYajb4ekQKY/p1xIzF4/jMiWu2JK36AiWWzLVegmsI+iI10eyNj5qEYNvt2CorGS
rL8eUpGzl4rNnelwwYA/Ba/KXdLNEsfNeXHTa9Oo9qnX3oraJqnTtqsJSx0lXdaaI+/K4PK1CU27
ucrm4dHWqgcqdP0ewFq2bhtYEPPY5R5nTn8Ydbt8K2RHdXWskVyFmDb3YMz4cuRc8VRc6CLDAzCn
zrCnUBL4kATqx9EfPQc1X8Hos4cCmjmKpO4d+rlBTEnC64LAsp9xK0Y/ASEiS+fBqkuyqDLBj5Ab
LcqFDIKtldYPdjA/uIW1vCxBETPyAYW2uBaunHHadpjldpU+FDuwIuRC+IsrFvH9CwYTrHzuHC8+
RVR0J8mo28uh4Fc8VluTWXs95+WrPVSQxePt5MybvlXAN+eQ1vOjHiWbgbbtVVlFj31mPLhAoiBy
TAN+8qRZl0GGT4IiFYQ1/RVopLk2J1m/9HYl1lXJqJdGPOiYo9hIBuaLMXndfWBY05ZSKI8KFn3e
/PPr+ZdFjkp6u7Zg1PDwuOKpZpHw88vZyHPbdMOkuO6galkT6Vd7vB2bdvvPX8b466/DXt1Sodc/
DwGds9CFGRXXOVCI1jYeOZVu2Nu9cVw2q3HGdAXxaz9MFTu8dN8a0QmUCBfM4shJdbIArydcIaOg
v7NrfWOCiOy9DtNSANHSRiTmIyAXMDB6yGrl97nuLwaYv/zOSQ46atsOGfmXVZeV92XceWlxPUK8
CecHPSEiXf5Ydv3tyu477fi/e33WJZ7jsSxRHgZ+Rjzof/w9tLSsURbaD9cVS0oi9/IKu6Fc6UHN
e2MYrE2gDS8a7XG3BRSPmQjF6I6S0BAc/MAkUpTk20hDpOwj07sveCv15XBN7jHjU4JL06JcQ3kd
rmMtPkyBxc/c4HNj5yyOYTMud5bI3tMugwgfxrtlxFbeCtg7bH9JhZuftcbYqqYe+I21vZopOPLL
Gs03ajA/Q3fBb2YD7zC+Ig+/T46ynLKExhp1nhcH3oMza3tdjMlZj6ocPy/Zm1DAiYi8hAq7OHwK
epE/1KPF+0PQjZZX1rblcr63BfH0klecUJ2JiZNuKt24WDoRyGlBNhNmdgp03HRbvM1XnIuvrobT
0RnFfk7kawZdFJEd1bfCSm+CkIYZxkuMj9naCTE/Tlq+bzogEbmYDlzM39PYiD7T5bbT7TpfO1l0
Nsolw4xcb4FPkJijLiy37Qz2Dhkce5mOtdP+KBL528dB/OXzwAcSyAOFmIK93B+fhwAPKKwYi/om
Ybyb9Litl2rIrm122ivO0zcaxCippJNc2BPNfxk+aDM781Nhjx1BV2FXdcYzSIujcbZK98WURbRt
c6ve9r1OxMyCGRHGbPIHd3Chw8h8b/BSX4/0aa/dRmMe4SDS87LA7lHfhzneNhHhB1xIiK06iG5I
Tls7Xz43pf3uGZZFshUgaZMbj7YxMzvTq2R2Yo0iXPuNBUW2Ge0XbCn0dxpfbGdK8UhzDHgZOcjp
IfCSkzM0fl2a95hpeELQqWfj3hqGc5pE93XMOs3xdvbcvaBqyBVzo76hMJlZsB5ANWPecJWLAdLb
mr4p3hy29q7xTPiVZ74KU3sRERUddbeYm8ihT2FhMaRN5UbIZqfryZVHmopFP4ybYS1TiAauOx4d
5BQiETB26bfss+7BpPPKcyfgzfM78vDn2mzeC4e428z3CaMnBbEP+/7kFPZ2LOU6wi7oxwW6jhff
AnJMr2Z32ZTtvLEz8q0VA01ph9xL+DAOmncLxucbrH8Vg6MZoU+2HXRxn/L5tRF2vhD2ycZKF5vI
fa6A6i3DBQseE2raRyciEhvSGmCyOhVMvbGwbIQR6kOqHXPe4mhbmCkyutXZP+D4ZGUp10Lw1syC
cdvxei+anA0ghFDMxNqOfurjkpBS87B+jyIc/Vbn0F2Q2xJaKvA63gSu2IcF6KGxPhWuxdTbZdol
q0aUksw5yHA8IrXUbIUwpeDZEP6oI4xX+AxabgmZzYI335S9U/jBeGNbG4ek4+he59PWnrel3FMR
+VzpBDFz/WwTRNtMgTzBIYKMEATBsTcGx28tIXwHW8kOvOu6Ym7YlzMVqrPt7NGatJVTsqxEugR0
0Yj/59WmPom/ntw/fVKVbe4Pb9DIm3G+pP21zXt/aM95MfkTpYfBeEmbs+DG8s/vIy7+//j1frlO
G1FUcLvgZCjLr3RPDBPe6VMRvoxy/89fSIHz/vSVWDNLABWE5+X3CNRPkIqxpf8h0QdW12IG4R5P
rR8HxoNFo8hVVBLKTafhWFWw+Euhi7Nbuxag2lLjMgHZHmMovxmhfcPIdosKDK7S7J+0uLyUunOf
Mb5x6/FR4+6nsJ3WRYf1uYvfikQ+a7Ss34U9iVEritiSWf3RQrFksNjMgsYTRrxd0ZnOs2d499VC
VNC0Dr3ZXcWmcVxCGKiVdxnT/2PvPJbjRtMs+ioTs0cFvFnMBkikZxoa0WwQFEXBe4+nnwOpVU1l
sciomW1vOqK6SvoT7jffd++5xIKybGOx3MUyCZ4t2tXABPwp3adF5YaJt+kLmFbJgFNRS/HH4wFN
ev+xHKzqXvY97Me14n9yV3+vt/xc6N/e1IvmXKyrUMk8cziYw1MwfR3N7cdP7bO//2LhEIWEPTKU
m0No3pA4Y5fK3ccD/GU/xE7lzQX8QC28eStSPY3FWPbHgyafQvoL3CYxGJ2PB5nvwuVHhZLTxLKn
Y//T5x/xZpDBqLH2q1yFJWMefWn6lD3JXTgYnzwN+fd3/Ef5C56jJrHUotxgZ/r7QCMWevpDhXxg
G/PCora4TZbeQnBRFDn3dmbfb3Sn23+9RuT/ZXCfE3f8yhddr5XNxxcsz3W2yyt+M438+KFvrtjq
QotkeaaRZtktIDW6w027Ss/B0nItJ6mW0or7vCSj2Ubp6FqLonPVQ/by8a+YDZd/+RVvHu4lfRLX
XmLKRMYcHoaN7AIZW1onwz7Wqh0sVveas4cxvbIOwXJYg2ha33oLIhfXzHv2tMotGy+9HS+shbBv
19mqPgbA3Wx/8SW324PojCttY23wqK2ru3R58/FPJx7z459+sYMW5BofgRDyXtq5XSzr12JZ3EqL
0gEvuAgWoQtzcJuvTi97t91oDgf2aBvZ1jY6oLNyPFz19jfP+fLxr5p7tB/dUP1idQjDvKvwgo+H
YENCpjOt4WDeZvStyEKyUbvZlYMjZ2UeyrX8RCHN/Xj89z/Wf39HF7MNU40w1sU4HMQpd42+301C
fOhaMf9kUZpnlcu39+33ejHrmKGpdN2UjAf21LRAX8Rh3etfR3TNYkMpavnxVb3/qP+8qsuKspAy
+Wtl1B4CpKyjd1345//fABdnPmUgOkxPOUDF2k6OqANaxuLjET55MMb8Ib753IW0MDNj5EPLi0NN
e7eQH6bW/OSpfHafLia3WqJz2xlRcxjmp4Layhoi5/93HRcvWIsWtc3qdDz0ZJqH+iGNB1ANp48H
+eTtMuYt0ZubpXu+MFKcYzUAMq5aGTD55qgorUOH1olwIHU0Vj8e8t3no1kSaFRU95Z6MSS4IsUr
wqY9qOn3CgS7ElDkW308xruP580YFx9NghdGKAN1OGiRSv3+nKafVBU+G+BiSoSrMcAdL7uDyKRN
MZqk2k9u04/18aMP/+I9DkKaPl7Ce8zZwCZLbYvf94ojgrOtnMD1j+2ntLLZ3v/hXDNf9Zu3QaL+
JzVywBr1QGE4Y1YlT9tGyPws7adNZ58mrEgs3ZoLS8c2z4J93bjzqn56LE/KllM7Elt3bOx15gSr
z2Bq7y7kb6fCyzcnrHpR8vjopOO8kAt2vUrUTSY5drxSF/eZvcWtvfsufuVwVt2NO8Rxn8xe8jw9
ffRQLp57J9R6UFoje4kFNJ8FJkoZK+cuWVxbB32vrNrFo7z07IyK7bJaFSvTET6ZoT/7CcbFugc9
WSDSoGgOwi63B0zydvRNW4IV3rWvw7pw0z34+ZXw3X9UnGEVH/1F9Prx1/Xj4PXBXTAu3pMYnaVa
Z7ya1XJYljYm8XlXt4md224zbDbhvGk5AEi5h8i6SJfFyji1drVo3WDT28HTZ8DBWQT816fy789d
u7glpmDRG8qYUkpXXekrPVkMy2k57cOdZL/4G/Tljrkp1hT19oNj3LkY7HlEzSpe3oSLeZPwr83B
f1TgMrf+zxLv4rl5/q/XrAmb8fCcvv7Pf1+9Zt/ylzDL35HY8Qd/SezIrCXikQocnXlUOjPg48+2
vTrT7kyy3yUUdaDl/9TY4XnDV01T3UL5SWt+nrx+aezMP6jlKSJhtUDy/knLXtMvpkDgI3P4E0g7
TkYcxy75rEbS+CYxdMIRPyjOd6oqojq9en3g27GWYBtTxCUI6WU1zjkHYlhU1xa4krNsdAJGBAP/
yrUPFsvEHDsqi7aWqnsoWMb4ognQKnS8Oxh/R3UVlYRu0gbHcj7HSkL2UFeGKRJmXvXmivhpPDSF
YC0rSX7Iilh88cskdUqZMn4eGGQGtU0DxGBW/eT8twrh8zatm+qpwPwOKYHIjinotG2fGdsoqhS7
JzRPC5Cb162wauX2azrQZOvKClwqUUk2KTJwxMer0ee4kRqai7anO5iZSPunIlXKmg1L1TiSWY0e
HToU8NHc9G1ltGLXRGNny15VuBM0ZxKX6lNUA3/IxoaimKmNN5J0T4wGqSBsk8PSDxaI8c/R1GQ0
8aWrkWAhiGDhkbiflzrsl7pJN1ltCPo1O424EXMAmmz04TYz6AJqSjhs4HKJbq2VFJ2r2edmDmLO
PQPPzmMRjmpJMqHmW7D0aWM3obotwTPALcqH84TiapVxDD4PnXikpRSsrXjuTKIRwrs8TeGSTmRG
BqiSJTFEkD5fV16QUKAzEPUPA/IAUGxCRU0zwNFEVLd3Q1m+WHVRVIguL3a2yaquQ4eUh1tPF8yr
UO3BHzeWR8osfzi7ksrWO0tt8JgEtOWDTH/2K6rlfQ12C+PDYyw1vus1xXcUgikRtv4+8YATmNF4
TMC4OcGYfg8mbQHLtjmiMxmdFK2Mo1Zm7FgZJTOh0zdVVxpbEkYlBxfTTRDNK1aartSA/7EqOGKD
xuZYHXvZsumN9fyARm69kKZdL6tXnVYI21ExHIkiuHLStBo+VwX/TKSFqSmOjIBhUURJsyfzG5gh
L9qRyD385KVW7nQV/ZWQozOpIOziQGtXSpA8zcJyWqkSwoWh3vYkKtlJ55NMi53zEHtAZVLrmyzU
ez1Kz3lLSoygXNWFQWFdForDyFF0I+tEqQI0gXxAnyVFTE/7yPNc03xthGEXJlCrVWM/BrnlkqG2
KoGk6DDKuOYjFA7aIIhyOmGnSeE+xXGKw17zrjITaF2qFwrpSz74mMHflEGyqSL2XiUPyQyQ8fUh
5OYI9YEcm89+2/MF6uFx6PLZBIqOTmi61MGeSAMh2ViN5uIse04rYg5BuhPh9V03QqaWdIkgd0mM
jCN26Nh9GUcG4vagiDZGp+6sfnB6iYCvoAFeDATszkzEI3rLO70TTV5SK9dhblr61jOn70UpXWtT
uzFaknrS1NWbQXHEYNjRHnDocj0HICn0inI+ZA07Ivqlpodu5vI3K+YbThPltbHGa5WsoUVaFldj
OS2FWCXDS3GgboeOCqocvDh+VhFdg5e+ELR428/voxRHG3rUpykfjimhTEbEijvkayPNHSZS+v4a
G/BsOIzl6MiA6DOvXQhwPoJJWKHzXBuQntMiWuv1sBS0GeAuhy+6SUNMKNZCazlxgBqkyI8Znkk3
E/MVm1QwPa1/kptkEXb+eoAukubCvuvG5ZiEAMlke+S8VPKJEOHqUJteYCRyvCZ5rZLXnF7n0NCQ
MEVIDhgF+uxBA3lYT8pCUhkDQ4bqyUc2ozc19jkUx9Dahmt1sG6TaEJdlCToZ3piwVWUMp7FG+gJ
M+RkaVrp9xFYLjPcEiIoWT/mQjfJOvPrYINDZI225kGUGtSR5o2uFw9mUF/73Xhu02/ZWLyWokgU
BcZAQ5mxRVRbvHER+6obiKPjK8GZrttV3inX6ETxiRKBVIm22CPSFcW1YHVrsyYfKUhuIi3fN5p0
hyqZ+rxV27pWzK3OXS22Sz7FQ22ZS0mpt7i7GbB0Ub1QXs/qRV6i8EF7/tK3+QN/FQhUD/tQrRZ0
AgglJrjMGbP+uc5qbC7CLmnyzSQY5IjQiOiqmG4pi0RQeKUD9hS7im6s5Ka7R/Hw1JTknRfGBnot
yaUqOI+mWtPd2GBxpgOmEZ0WdQ99Jd7nVXSdE5vkqQNC0ZZ7Z7ns8dZGo/F2Giug1+csT3YFsPxO
aG+S0Fibg3f0lGmD5GHbeRJBc2hDsjZcpsl4KrwZjoc+oDfPUUViuzQ8FmwVAWW09JDMO6/Sz3VV
H7Nau24HhJ6mVN+0eDy6AiRlNSG51pJ9ovlbvDCi3cNqreaJasofxrgh+0hbFQXdYfxPkcKhrZ83
PRnIvuyuKsYtDvCdIKvBUfBw9pDEm9zUJJM6k9xsKxF4WN/jNopZeKJvkC/voiZFGQLx37aM5lHV
WNRVJDw5buVQ+qanOGqa8iGugo0oS0fmWxJgZ/US4dNEtfFdJkbsTKL0GGh1sbSU+DatmgSzWLyK
FekUxWh4Ygs3EiLAJfbftRfrMI+E1A0RqHWE4Rh+7xPJLS/iBI5WkJ0GH8yIN2yHbPxWCISn1NFz
g/e1YP3jC6jhnXaG27a+WwVC5oAZBQnYOmnCIjFY2boTzG903Jd1SH5lZyxDcXBxCjH/wCQibWBa
Dthqx4b2QqPdwtFlrSEoLEND0hBoLwS9sM1klXedxgSylErKN4nQXE24G+qqeGnNOQuCaG4vGa46
FVhkKrL8vdnSnn4ec97KLi/qFz92iPgydENFuGBZl4eNpq+qqg0z4SimQF1jO4cpBRzx40Hmo+yb
E9a/BkE+IirIAhX5ovgDj1jUNVUSjgOCL8Co7eOQf/dBohEo/PFI721451bAr5EuDtW5l4/S5DGS
bB4CFaWzIbnTtMmhELVPYa7/s6rWzwvja6L3hY4by+fvJQYZzqsJl8U/dcJT0+5K/yVLXv75FbFb
ZrPMMIp6SaT26ICL1lgEp06lhLVqx9FNMNynPgwwJNvNz6D0v1UUvPM+EPbJoQVPGIYc/aJOM7OB
5VFswlOI55/2sd36qyL+5Jou6k3zbfttkIsTd+0JjaZ7DBJhhGmq/YyI+PiufXYZ879/U/vpmgn3
Ame9EyxknaiPOL/14Cp/PMhcHrl4rX+7jIunX8RjXHRpHZ4GQbFBZ1nhidxTJrhHDV9OfZThP3w8
4nuXBZNblMFu0J5T5oLOm8uKQzJGs0gKT0Z5LkVkgMnG8L7/8zGQL+mqjsxIlsyLW+dpCgGVXRWd
UI24qb4wEN4ST/vxIO/dOvAsGB0Vifhc62KQvA8MIwyHiOfzmOn7gJNixGRgeTdRu1NhdvTe+eMR
53fq8mG9HfHiYREKQoiQNMIex4Da1fcKG6iPR7iocWq4ujXJUAmBwsum871eTD51rpK6PkjpKdrj
i96weF4hqHK1c3CtOfDylp/Xz957Id5e1cWQUOXToSm66NTppIZQ3ZaBycj5+uMre//eITuD3cOb
d9ngh1OnGw3RKCevhN4HZtpsPrl3892/fDpkAvC2WSjcMMH+/mIXtRxC3heik8HRdzRldptPIVAS
P4o+uZb37tjbkS4mOE7EeYUbKTpJ2mtgnjXvppw+md7eH0LToQIYfEnGxasWSnFnqpMfn7LsCB8C
batsy63+yVL33ifEy/bnKBePHnVv0Iw+o4TxC5BAlGBupaJobZ24OQnxKtE+eUZ/uSxZVA1oIiL+
T1gFs+/l7eQjWx5IOSNPTk23KqunXnfL6fofvmgXQ1BLeztE1vnc0IDQ8p6AWEmArhlpn9y2v7zL
P4aYcyRENjzU2X4fIhqGVEg4aZ3q5EWYNvj7PhngL68yA2Cc1fhOKLwRlvL7AEydaAozelvs89KW
MIhoE0ZsTK3XH/fqP1XZuSD+91XZ67B7rerwG3frZ7F28+1//lv64cSa/+CvqqykQniet2WmyFw8
u5t/FWXn8FCDQi3BYPwpS+T5/coZoVwLfQyvNPpm+NBvE0LxUvEoTVNEZvKzXvsPvFQ/lrd/T3eI
TtnIIeFlttN1QA2Xu6xAzjjwwY68qvKyLIy9kHDIBLusinWKz0GN4qPVykoMZNCTAGD27bSUxpFk
ZvxH2pHaSXJs81KAmzQIG03LlKsWCNSil+tsl5JdcjMqsOnxORT7LGzyl8Zv+q2c9vGNKvV4PPPI
ypxmMF5RQKrrXDW9JRlxc64UhdynQISyRcGNSIOqx6ViJatYlvrFlGTaV1yt0ndBCadrudbDllMx
aRfZiIBYNC3Iynq5GGRgkSCxUiek835K09a7ldnkXbeFkAQ3YqTFPt0uQyqnzVQEHppu6utw6SUj
82UGRF9LzaPDCEfaIvAfRJSUI7pzVUlmj4ysktWFN1E6OlB0iNxUC8voTogmdIVlFxuGM8h6iXS5
Uoh30DoWk7htlY3apY07QYhbEGFoz8dYE4XqgnzzYCF2laXtugKdJkxWHatHAIVftMSa0mMJTNQZ
w0xRwD0QX4eI2bAW+aReT1LdoaLtiHbLjegFgxBoJoLHpiuNmvgGrVvYXZOPJS1H0o4nBSeFavRX
qZWMmbD6z4zwk4TA5/v3M8JVnjWv1ev41wlhdhf8mhBAE9Kl4etmg/HTDPnnjCBLf+CfZEHQdV1j
SmAa+TUj6H9Y0OWp39CimSeRXz0a7Q/AP7g0OZjJpBj9sz4NmEPWhLfzwWypwMUBWwFShgRY6Pc1
Iy0SlYMrrNBUmbplIXoAb0Xj0TB9Nzfae7nR7+Lp7I0d+FrJlUvz3Db+nZdMkFFn73tBLaXMxitM
1r7wovTxXYotBLljFa3wEn7VG9orEEk2RRqtRT+DadPmdH4qjyT6SHfgzjwJWVd8lRqizhUv6d0I
0xbZOxERG5W+Jt99m/WcOyMluE8pxmWj9ThRsEsKswJAWj6PUXy2AuW50qWHoRtlh6LtFSzZHKJw
jG+5jGDM0wXRkMvcj6L5FJL6sMsKpMhSr+kLsYju4jZ5Ekdj2qgpVVcgeDROpvVUyk9dnR6sDA2U
btxY1SpGN1paxNlpUX/XBuGjGQrrXszv60rwt4ZcLKxaddKsO0gRXVsUIcMYHmZ3fzliRPDC4FuO
f9tvMuJY9P5gzUb2PJQ3ar7ks8U9R7VXvvFJp6Oo3cSPpRyUNj9xVdcTFXLscTDb0LdrZH/HkUy5
TfXsXKvrdaczs3o4USNP2KMN6td5A6PVC1u3zyOK4iizRUr3qh5AXkqSdZkn3yqKQYtGrjHoV+Kq
giwLia49jaYFIpmSruhhQQoyytohnZ8kY7yEaqzmT5w2q6/iNIbEcnKOMqdFThlr0D1rzvPZU3BD
ZG0d0kJd6BEEQ9JjMJICMCbs0NAmdNgqRfJE1MjSmC3yPoVvR+87iXwAMjMTo0bMGzbM5EbByxYC
b2tSslAa45lmConzwHTampo0UKK5FXjuDTxhhsQBuFRexlnSrZbRdSalER6Oiug/5U7Db1umSeWy
dTb3pSBtEjO/KqLhCWbUl6CuvxalCRinH73FpOvkNMFdBAEM9zqOmk03NvmiI+W5DXElTqZhscyk
Z+zDihN3wzqVmnyJvRZH2qj3dpwDiURcD3niO89jB/D3qFYBoAxxhZmFaj1l/6Kj0TYmyk2EixbL
8K6R+qt8kmn9N9kWIvMei8NGTgn4TTDQ4oX4GtX+xgr8la7Kia2bxBjU4U3RCneUmTZilm9bAgpz
Xd/Eon8ERPCU1cmdHpfc1Knfqwpowja/ajvgTdSqzwlE5cELiR3QyXbp14WVb6R5Qz+qa8rvW1+l
VVGNyq5I+l1fiycxUJNli1fX85uH3giwLqrTMqyaY9FibMFOs60s+VoLi10cdmtEsi1XmLabqCOV
Vayu/MKgCdHRoBxBL/jyTZ3X9z5cO2+IrtoAT4I/Xmc4CdEDBfdxEizZLN/7sbHS/Hyd6qG5IcVo
pXc9+QdGc6XA/YP+rJxVeibsf86p0GFqFUsnaKtNZ4kP4kA8oykmycKS22u8uPu2AtZE5G9gs2N+
AJGwNtrOKcZmIQ8TmRc0FpVEf5pMa9ULvQu+eZmE3WMG2qnWxO9TjWANlp47wXEIRbZuwJuFLL2W
6fI7idkn8tLMNea+QVG2RGURTq0nO8tv96oVb4amRXUoWbsgCI5ql+w8f4TGn/tXvUesVmhlX7sQ
lqNQJVikrFWZW4eKoF5AEMMyLUUJM6v0JZTa/SCp90osAPKKbqb5EcLd+VpIA1+j74J82km+cD+I
3VGRpIMYk8CjG8Rljf2zDAbeCQufplRZYDvhWVSStsxa7FWlmT4VIF5HKyUaIqwAL0erOCv6Ra1L
X+g0bcu6s4MARx4IRPjpkiOrt0grYYtPX6PEuJm0xt9nWllsRB/9Y5pdCTOSzStxrU/ak1ToK0P2
bFWBRxI15FP31SCvocTyLfuvMaRDInhzcTca4x5ikLyUJAxXIt5Qo8QbxktRwNKh/aX74rpO24e6
D2/KbAKI6d96Vb0Gru7bQ29+wQYJSDW/9cfkvikDpDXqKZ5dvGLnyNHMasctran5sW/821Cc6oWp
d2uBuNRmMoHE6ucpkdaVb3FrpKNQVgi6aDSxT7yJkxxrkpTNhiQg+Z3UnwtFv6rRZupuUhMO4LZ9
GX7R0rBh8teNnZzRE07NZDYF6WBgaXqHJl7VeNqXqBvAPXJJ41isq2FcGX5mYUHUTBqzXeZOQkiy
cYcB3e/Aq3Rt+rUDHanq0LxZYeh9Q1BaFHh4B3rwJGasvYBQqCFpWGI6q9tiJGCbKozfs6pGw0Cu
WjwSUqtElWTrBFS4WpLcd7kvL8RRr2hQgRPBUmUIdhrp5KSm/p5WanHMCO16iCQDQA4IboEQi147
13020dGZ0DT0iUrMYEcElFv0mB8mSdgjm9gSf3ySzXipDpFryNOXtPSuffzRbSkj+VAyR05MHD5S
+eD1WjT3TdxKwuTbxcOqxe3lKk3ztYtaR4rNR9VTrrqeHj5YFPLAMQeBuFTqWxp448I0gmdm1i+i
Uq0RnRxFbXj1ImUHk0Aj1oUWT6jkTi0oD+Qm7IwwvfLCRHF0I8XcTe+ooPHVskRX4FUXeuUdI1HD
cJRfN3UMUzSdNoWv77UhXEsVyetxscGxj3tRjBehAZdPj5Sz1ac3DVjDLh/HRZpltxlxuk6K2UMM
+41ImIWlSg5boZU8lJvGw78fBxvfKHcQE+51VdklmbStFFZaxSQ6vnjxosmNYv88eOwURvqQkxe4
HFkdrWxe08DaC1nm1Lx0w9DuWit5IcASvK6VbXIxvK7kyNXlECJBNNpKSpjZIN7UMWk2TSYIzjhT
VA3fJbt56XWYHGcEX2vVyyaS1mkrP1BaIhxEGpaagJ4DmgtbixLYATk2YxI/JKhdyQPzOfvIrhVT
fYJrSkJ19MWyvJViTiexw1ITN9Lt2EtLJSrucwlvvZICvhe68JtX5Z0zRH3rNoFyAHxx8HzlicAP
nPtRgdvPAOAbbqxQtJa+7+26eHotRu3QFJAwmN+bvS7zsvh5r+HPMlDIjYXkeqNuHnMp32Zq65L/
roNoFM+JKuyTBkKf4CvLukaA4mmBZFc1zahg1B+1HpWHxUxDz27YD4NJq73P7wdtOheC/ijLkUeK
TPkgcpq2Rb1dxnWX0GDjqk1PWlvz1FMiCMAXGqz9KiH4oYivCjQZsS9MR6gGu4KkjoVMs35RVun3
TsK7VI4l7B7+Cdn1QuowNYZDsYL1vCFgBANr0+6nal61NfVhmN2mkQjNoBrom5ejepDi8ABPycFq
HmyMYKr3Bb1YoGIKXqHE3/aVd7bq5BF9jbqeP3cdXiaaG1ZzanrKoxlAmirUs9QP4d5SMvx7xcYv
xFuZqLsp18S5HLDyxXwhpvG+9MVVa6gVxKv0O4lF2HgVGfe9eRs3+TYkQDDucKYk/QzNbh5Gqby2
hnIGgRqHSPIPKZiuxFDHHUDDL2ViPaqDck2/K99pSpS5LYjGpdyoj1NqbSxcWg7MyGyVdfzFQikt
cymE9ZWR3hMl8JZqtF0EZ6qpqNwMUiRzjKgqAdp/Mqpy5MSKLriyFHpwh9+c+E4/j0oftDGxRVs6
dBxU2BJnKWquvx+g5FAUB1nOwmNUUGrLruppoJpy8/EgF5W9fw2iS8TGYiHjKPn7ILE3VIpQ1yE2
/o2QXYkCZG/1tulvPx7mokL5cxhjdtfQJjOgt/8+jEfthVOAyMZd/t7nd4LyScv3nb8f0A40RqCM
3K7Le1VbIwFdepocs54XbW16z//49xOuLHOHuFGzkvH33+8bmTcpWpkeTc4d2kn7F/Dxb1uUFz3e
v9yfi2et6rEUCEylR3IKhdSJoZ6B5MFE/kpa2seX8s5QeBpJFDfpWwM+uHgUiemLUz/l8REvKv33
RrQxpfsqqH8HW+PHY80/+981gNnwN/OP/v1YqDa8rX2LUph2hp4kx0JxyAPVOHc1C+bUsVt+PNB7
F/V2oIuLyozIom39cyDIGRmJXsGSdWReiotP3rX5R19elDV3401WR0W+dKspWibnLLzZsVaWXvLc
Da7mvXx8Oe+9zm+GuHzdplpjr6SJ2TEznyPvURX+D6/zTFA2YBXIkvajdvOm5xqVidaogpwdI2ZA
hfzd8f8weSH1FWFqKXw2BL3//uSJpmJ/r0v5cTKee+PQIj8Rm0/mrvceOi+xodFxnZvv1Ljevl3k
BRcZjvL0iKIJbSV4P0k7d9AAigUU5Y+fyDtjUSenjCqR90F792KeDDyTIlukZcdgPlO74SzudI2S
su1Kvv4x1H+aIDLTw9+XPA+v3fM33uPLDsj8p94UPCme8l6pBK4jFeAp/WqBUPCUTVFE4YHwXDVm
TcmvgieBK7JOw4THNyPoJN7FXzVPottFDYc3Qexo2v9ZyRME3W8zA4ZanOIGAngmVequ/IrfX0iv
DQtFI4XgGGYnZTQaR/Y4ew+NdTdMMjEfo1zalpztzSm5Nkf161gkgmMQ1QUjmpwMgnvhPzbWto6t
oyIydw2C/tUK4quktb4AM7pT+uw74q1lKeiEtiDKSIq0sM1alx2pn1ainO7RiqFS8zoLkTR7XbFE
rMhiQEkw/qL7+gRuQUd6hvRPxrxk57L2AMvriz9OX8k1pMwXW+u+bO/isDmRzYGVGlw/zdMb3G13
OamHB69rtnnfEYgn1DvJ5NA0AMNOh5xrnghfUezSbDetiX1XJyqej2aZBcJ9S2gFWlsbqcGBRWg5
qQETtWF4rpfVKJr6dkFu3LI00cWTVQbyTfpGuNmxjiUdXEc53kyA6MLOA51d1M5UDpBIIyV0AMaA
ss7AdliC9phOMSnRvWcQYS0mW2hP1qLspXohDN5qMPJoYfZzpdPSFtZISkRvTbYitTc6+lVOKNqX
qqQOB1CsUtmmt34D9UQj2hH2F3XSO6nv2eihly8DKGGNGJDlgiyHWqwfAVkJ/IQuTk4NsuzCPad9
N67HlZgM66nvdLdF3GtHPr5hUe0cY6JL5KEAVY2im6Xhr0WkkUUIaAWxz9MEZs9GusRxw2vvGrIn
QrSxHrlWapIDWa03Y9vuhopYdz3K1tDrBTeIi5nA1V1ZItHDMaW1IBDvR1XfpgW1zlQbn0tJK+/U
FE1rql5LEFn7ot8AdlmRiOGtQ81TbCH01ihlcscvlR3ZcZJtCUhCR4G8xyk1vwgdWmm9FJa9JeOw
6EwIXJgDvH4zWaBZxLzQbdXPIP4SbwGWdxXSM7NFYzplsrdUWvSFAvqBqmq/TNQFEk3+nivcMy/i
3GNSiPfiO6Sqj4SnnIYgDp2hMddxNj3UFWw5MQ/WlPMMJ6GelQ3NNm0N3uZoeugQY3PGf26IjgE0
tLMiUChh8agTM7TwFAp1MRkXxGQmt61a3QUss3bRglgTDTgJRK4Xk1SABnwsLY7BVatfVYVxPQXq
SlSI9kYMvyKgx0nb9kkz/WuyAZaGlB0RCB6Hgu5iqU/ynlhoGMV6tp/i7iAr/jLOvsXAZlrOF27d
e6s87Oe4QZXuGsFCIRR1U/T4fwjsYewaL2w9OJ4uP6ceSdOaGDeOWBPxnvi0D7vxVp/wpQx5YthK
ZdyClN4hdn2czOAqsYazIgsrSSThziqtb14qrlPL5DUis4WqDi+gN+ujB9eL5FeslwTQddItr/GD
0RDqI3n5oQkR2VrKN4u4UTcS+lPuUYBKa0l1PF82gCJCBEv0gGJ8Q3VHI1LvNMbWdQwoeD4Ylxuv
C0Q3HSXgzrr1dfCa5zgpT54EQckzNG9R96IHDa+03CrSdoVZq6dJMcEK5kF29uBu3BSZ9OKNikz9
Y7qb8nyvTP5XiZpFm7Tjmmaw4DaxfAgaqH91EdRIyikogQh+zQtjAp8Z0OWNi9l2UFp20VjcATS6
zEVJ5XhqtZ8kY9fI0jZspQ2YjeuKuhcibWWjT+oB/94uT7nKMC4XRROI1KIEdYEwZREFaUs9WP25
J//Pkq+yDP/9kn+TJ8/vWdHmP/Xnki8Rl0YFWaf0C0d13uT9ueTLf6hQFSHBss0k3Jp/9WvJN/+Y
/1ONpij7Mk7QCI1+LfnmH2wBDHFuScpzD/QfEWQl83fJ0o81n7YpGiIorxzWZ+nF202oaqZkpLby
eDQbvzoZ0Zheh1JhPIDulrdjH8ePZEoaS7PpxKt+LDy86F1Avns3fTGsvrkJxDxZTRPtGd3KPdcQ
msrNQhIo+agPSRJYV50ieXtNs6qzMjT8+Q55yKKdmhldVQxrwbS2gzyVZM7C66N2E7+Enpitoqz3
qLYSKFwV9fCUBoG/zcu5SyY00ULOxNGuTbOgBzV+sWQaGonyPHqpsW11yVw2YOp3WYw3p8rxubCH
8UinFI8xDR67DWMMTDrY+iAkEXomU+YWGRm2iF0McF0UUT6TevXcZOmCLGf/uxEVj8Hge9QVOyeM
i22Ug+4coizeyJNFdgc96ZMv+Q9iPPJRKtVSLbKzloO7C8VGWDW6P20nv1W2rGeGmyjJjrDsehM2
qrUQCbIlRTFT3e5/2TuP7TaSbIv+Sv9AaqWJdFN4S9BT4iQXKVHpvYvMr387qFaXpKqufprXsIoC
QYJAxDX7nENNg2saF1Jsh7i95tVIqNJwMzdJsagy8HccKmdikmymnR4Bn6F/lVhcWcPEq6P1WnQb
j0S55LFhXFq0f6vJHSsURu2hN5NnsBaJEgdFnOk5yRrvN7LR6rlbcmhFa200mlWmkTcaOMYuERoF
UhMupY3GrEtRVcx99UJfl5xlJ960tNRX8K4l0apoY8aCyykJ7xzLvcldrG9TKbfmkD2aydj5bHZQ
GTRmdhlq47o0GT+HLRegFe8rjUxgk7qKkeI6qHgex0kRAA0iPLetjSKkyI+tZbzZdtljKzfeDVHK
qUkomroNxSLP9Ysb+rsiL7eDZZ8S6Z8rhDOR0bODykLyUwLnegqSzRzGl3yO0UgijfLZZyMHmc72
VK2qVHvwLJt5vBRHTGT5Sh8852bzao1GvfIj7zOl15b77gGzc5rzoGJtW7WsagssZa/q1CY+l5K/
/yxI0VziacQ2k4ztE9mmFZ8KQtVOBvhLjzFaVh4qHxLAJRjsFDJ33v/Tf31DTmiX/vthfMGsLXz7
i/6LR30/jOHMhEHcE2eqJ76lWn4/jA3vAxW5jZm349GQKzPN74ex9QGkxLFB/T0PHORnBA0yDZdN
h2+rMqfM39EGc4L/0oDhr6kQN59xogmF7f0yEajJeYxHVw/OjW8QZjlnqb80ej84arLWj4XbkgSo
6VOPbWx0iIPpkxcaOCYAOZFybjCIt0d3R1RZPqxrC188vaqrtcS7mBADYlgfScYAmkIYDUAFWoBR
6TtWxZHRvIgsiN86AvGajangK7sdSvKHSkSqkvzuPk7qdZe1pnI0EsOmbhKUgaQz+ws/5SgOep+W
La6w4kkwm0Rk3HzVvFBSYPFBs+OApahJRecZrPJU/KFmJf4GVSZrmIloxqhB9cQWsZrLI2vk8zyP
N4Y14yTqK472JMpsb4TRXjKpXtoOhrTszog3bwdiZ1sRnSqB63SlXScUYLdV4B3JA6WzCOkJMesw
TkVbNktTG9P15JAC3FQaSZp1f5Fde9FSfMRG1vm4Y9LKlSUZg6Hr+NSJHXk/sTU1X1Oru4sz/Q4a
MccwkVP0WqvT+WyJlL1ztQlJE/9YxrRFnbckrzRHH0Qug1VGX92W4CSzYoVklrhM+z2tm5XfaY49
biqPUt3FfXPVNPmWNHR/V6EC50jECXh2nZVpFNFlCIkmiSuiRiybvZPUylsHW3Gf8AtSHDHH9DH7
rUwDLkQ7G7O1AQiMSTCtxEPr49xAE8LGDn9cHYvQBV33UoIpQAa61SdSRJXtssb6iKxJEgdbLHu3
P3wU/z+7AD5wClPHpZ7pB9Pbn6uMRI9GHXfi5MrEQ3RjZaP5Ek28TiOZDP/WG/1TjCoC/7+ff3cv
nxH5Mn36C28E9cjvZyCDJp0zDtQaxco31vb7GciXsOFmIvnvr/Co72cgBgiWg9ufImOhbl0O1R8K
UnKCSadgr+B7TK9+5ww0qV9/HE+/F6SqHIXS1pGA/onVtpKhaAGexovMPGWjGfN+GfBmrhI1Y5Ad
vXfaElxpi+HTmORHikN/6+iei1F2HC8JUcfJrPAMTBKctaZsLfMJD09Hj7Wj3s0vdmDO+L92b6NT
tyi3kbFXWXBn9ZpzLgYOpmmw6k0lh/qKndM6CaPHLhrXI6ncm9j3DnlnHkRjfE3l9DhG+cEV6aXO
YAIMc+fHEbZkCeGpcW5VLMwNKonJwi1EF0QS+TjnCtt5S1zxMDraczpob+OgBK/BxCdyZDxBps8X
wg7wgtC1qw7kdkU8ybQY07FYkJv9OkVghciQDKy0B+wZMJBY9VP5GOXljemEKNBh6dxJkGbb4+Ie
NsQpncN4j+L8tm4dyJ3gbVYoUnHtGEArVpPizO1sZvz189paBGbwOSrs+8EOCCJPvk6h6rEz88bD
mAF8DchvCNuHUqNOnnqkk30WZRvZZXJR+6RANM50l4cdruMuppatpydLi2z3tV70LptSMS+pTYl/
CxJ/TW5ouxJduEsjZhi5hrlNrxEtYWQmuDIzomQSHEyxjfF9iUC/qRVhwOhumbJ/Pcxac1u2ku0q
m6dtLwE3WNisGquLgT4Se9cH/pQ+FqHmhmeznfOnpLW5rjJOa16+YV5KCxZtkDFRvrb3tWUhLaPh
EnXkE1o5ETnnLuha/7lB7folz0pXw98483exMLApB/e5uDrWusS5st83p2JTibE857MZP3jQNQ0O
GzQXxDoQEwc7WOE9IRITJ/+eK3by7v1i3Fs5mt4m6NllG9mOdJgHrSeftKeXxy11LrbDSGpMLvJ6
4ZJif2kLxoE6r6XVDmcJE3nPOwCfXPIMl6xF5HUxkWjo9WN1H9bDa8uK4+im5sCILXqrDOJ0ZzHR
lPjGleaVxOySL8lLb+PB6nf9rumDZmfCY93VTk21XrrFfWqCflVGHC0HUd2XXrfqOgejUFo45pr2
TjoFEuxAA+dTzVVXTvBCtFuaRbxHrlowO4a2YpvibaY4cA7dpL9QQS/raHxkjEw+omrmCJVNVqHw
QRal0Paa5o/PaTKOUGh1sIq9rtjKqkw/p9yAuwx4aIEJ/iEdI7kbVDNJzIMyqJ9pUTFeaW5G1XYS
wkFA4TBdtcDhDK1YqTFR5ZOZDzgL6Z5cdWRHnDVvxiDFSMHq8FFf/1OPv9fjKm/m7+6j4l+LN6Vk
+HNNrh75n/tIZ0DiIKNFcsi3/WlAYnwgdxVlJVA3Kwmfq+L7fQQEzsqD9BvcEn7GwJ0P0OEs/TgD
yW1FjPU71xF+or9eR/hf4yPnEfLD5gXHnp8rl7afbHtIPe3KtfNkmZX7IQ54T2YOvIaCWlN3ItwG
zJXR2g23kL8cFAI7wsKOCoplvL6fFSZL8ZYsWbvQtSuItlY4bQxXi1zksYSzrfT6PCGIoObzTpVC
cTF/XwSV9RDC6OYK1g277BYdB47McLwUeEuW0+0ywELeV6gvERI2GabNky7dr1I4cpOM1V1uJg+u
kVPWpgxZeo35Yu7XH0Vf9SsmPStiacZNElaAjqW2IcuvpxZstmOqcbIGFghrnx+woBnjlR2U3GcA
aNoqkOK5ygZtuiF63Rs2GEqMuKyUbceJhPNwxQLEELBSlUl+++hvKgM7laGd8rXJ8QXQY60HMmrI
SU+u+wRHN58JQl4SztfryZfORQajCx8sHGNiq7vKhgezxeGbhZS/JNUdMGoq71xJHo2Rm88JSOEC
619zDaxFGF450Ma37aHWi1c4ceIbiizCdByrb65kJxfmTZ2GuLBHLgmbU3qvk7iSuj2NjEx1dV1/
LET5SAJ6SUciyxO3/7TUXH9duOy2QiIksvKqNdptTqOf+e5B2sFH1E3M31NrQtyebPpC6HujZ3Qe
8XtD6EmQbAcaSM/QnPDzPHlhFx+GmL6g4uXDDSLQFKaeX9jW3mcKhcwrF3cG6Ejxzkl2CplM3+nJ
5p2kNEbvPJvTjd6S0qs7uIGTwMJZWOl3ISRmoJDMGcecGkZTgyKlBLixE3ePTGGbDmSxKqhzgO7s
vPwifbQM0sT5Bf5T5PzlERpFid3D/idPxMHcu2W0HbnackWQ+qCkEqQUg/5TA2LagJrGnbEzFHuK
5qZaOopHnQFT5TBCqCpWldSNk6PoVf7kCTmzyVsC2Do0/GzaFNprS1GvDvirnIleB4c1G0IfFR/b
9dl5BpjFB78CcoahtTQyiPrxtdDadd7eNz1O4mwNbkLg2woIt6jmA9KHR91PRmwtEAqA68ZTwrQP
gDdu0+dcEb2a66AngPG1gH0jRf0aiv+tAYH9wCjXeo7KypnZRVIb6N6TyWVWttqqBCU2PfvVqnSk
EgoyDqPLCHRcN8QTASFnikbWzWlTKz45BkUOAJaTvCDlFoIZ+fProJhmawxOvqKcLXDnLOOfgT+P
ioMem3zvAUYPyuVDkdJSMdOuoqfTd5Aa1GtaOu94dfSOWmtO+CkBvi5sesVG4dhau4M1/9SCaY/+
sEa/sE0s77kD4857oS1xW1+xQFx2gN5NWH2cFPltqhJ0FM7JAwr3jBo3DMWJN431MQYcH/HuyBRJ
XnrixgItZ1B9YyrWfJqHsz1An0sw9KAg9R6J945Ug23spU+JmZ4wdnpwMdpZZIl+24G0m1V2jkDc
U71/SnNx1yj2PQeCF7laIzfnGDheKko+nBDeEUC0y8z6WAPS8yY5lIqsj0Ds24BkAMXc9/3wMTdr
3Mng9waw/BI8n0zdo2bB69ejthcA/Dogf9fU+xywf8R+x5/TE5Et2y6bbzqlAHDzmoCx5igr3rIe
BViOWIDJ9HOKi5io7X2HmKAVzFARFxhW9DggNrARHSCBzBaYKWwGG9oQWUKKPMFQOoUZwUJgNqcJ
AUOhlAwtkoaoTI8xEgeJ1MHPGJ0yUVwYjI6XCXIIMcSbAnkEGp1jjFzin9rkW20C9fT3tckqfgv/
qjThgd9LE8P5oHtc/jaugLqy/vtjd8MkEU5CEVS2j9O5Ijm+lybWB5pYVbT8UbV8b5VN1jqIWBnw
YR7yu7XJX40LhcWGiOWRAIRCBv5zbRInSdRGMOxneLkceVJaoyld9o6dHvI4HyuoimF2G9JU9cpE
31BM811f4vsdFZyefeK+pBG54R3er3r9nLiZYVyDGmCXkwwsQhftUPiXvOzmQ2j1WbxHCWHeY26o
2Xuj1Rtt4ftad8kDKzikk6PjuZ+miXEXu2yH8fKfs/azX4TOeG6sqrFvKGq2A1G4b6wb4lVZxD2X
vfB6EmqVGNN/12V29dTtRWZyn89zlM7rQM07Z+GyXXbrSD+aah7a1HXiLwvkb+tIYoTW1E237vUp
PtrdRC5tMFecFPhmvfRtwapX1AF8CYu4ecnAqb+OTPsFBO4ZIv1z4nAGQ5rly8qx36ouf2OTZdBb
57X4glgLdQz8fR2O+2LW7U2Xaj1C+9BZDKbOwGFMewMztjFBDdJ5T4ZGe+GnY/BZxs6wa63C3Eda
EJ2IVc53qdG4V0wdJRrbqt4KODkS1Wmk8pToCdur2C00HBT+EBBY1lYrhyFZO7bByuvyo9f7mFcE
jXumKJ33qWBaERP9gho42rpxnS+a0CSbb/ISBqNMBN0iXVWe/0Z6r7b1hnmXGRypzHy3UzAis8G9
ehEGjUCmJD8K3LJW6TiT+OPY29Lw4dQ7otGiZrxKWd3h9kb76GcqSheojd16ZV70ME3vmDtbt2TO
F2+JLppDXsfFUzJgXBbHNZ5jQ3L859T6dmrRXfz9qXUoX2q8n/6ipeKh388tdLXv7tcI2X9dczDi
U5EMzNfQ3Qp6qj/OLY9Ycp1Pr4WZxL831d/PLdYmRNF/+2aMDn/LAdV6Zw3/AFA5HFUqEq5JDPgs
Bbz9MgzGVinH33JqLpPGmLrCh8OoEZsVXrJ3+qi4xMI5A9xEV2TGbJGU2zc1gMZiDvVbKxC3adO/
lWw2FlJGCOeGY+Qam8HqTyRzLrUBqU1hnLzCWGGlCb4jJJyadcKCnCCoPr/CnmAThO6pjbRNOWk3
DEYe3Kl4snmHe0HNZ4XgUBJyEIPvU0KmIk2jY4isve1Fj6jDlprQb6Y0u+oReKKgu5JqEOc7kiJh
3toNKTlx+GCjRdL4jdZZM776cXcO/JRyw3q2Qg7BrjsUgbPpLP84iPoqiKIrv5QbBhjLMKqu2NWy
N0DoKs0nsl12EQI1n/EbO9dLYiRXuNath55BUDuvIn345MftdRT153CclkPpbQVKESR6V41ZYcD2
tUVzuM6RjyD66w+z770E2PnFjnhKkmGvtf5qsNvbKJy3WpKQazQvnKq5m1pixwMZX0Lb3aUu2s/E
ebDbfDdP7W3uda+FKZkhFVd4BZwGJ9/hDnnIm2nX1/gBhpXamV/ZBjtYkpmtUNy6kQvrh+Ni5+L8
LbKR0CUEVMZELRekL1Ypbv3KWUbstUiPdC+91p1Ck/CscNg3ePChtrpNfLk39OBR5BNtsbV2CAxf
1KiWAqWPiwK9XqqyLfYyDF7HGgnn1AerMnZe3IEuuqrl1qtsxnWyoo7ntM1H+UqGuB9Cc3EJrtvJ
H7lzWq9JdvgxRPuubJrkIuZZIrRGUGZtMbGKNz4B2atBzRzV8LGs+2yhedVtWnbVocAGc9mqYSUB
k9YZacywGiYjWWQSzIwb0QTmmpNb0zC3xFC2C5qZXVLA+GFbjDekGpAWJMovDTU0TSqXxZsapPZq
pIrq2EZqON3FYqpXkEGsiSwn3cxqGFtWtckeq33wmk5fpw79bMLsNvYmkOLk66iGur5m3mtMeUvP
WjF9u8ymvRFMges2HTn+6fwYEcezOHtJ96TR+iTnRo2S+bcMlSuuYYs5c6zmzWX+OKoBdDW0HSAg
Q2lKbuSDlXgN0XEvdDW6rtq6X2E+fBUrXakrky9khqLRE32+HNTwOzW9t7Dyn4vJfMDB5Y2fn3j5
Um+XkxqdWxWtSKTG6XZB0BaEAAK6ymBL1qwsL74MzOC9fHwUcvrau/ohYUYvyoiARw3NJdP7eEZ1
lWf1FXdevcnViN9Uw/6SqX9RRRga+Wm7NqMBM2VB0C9OMR9HfCtWbZ1/0UowCzSySvMXFpsklftA
y7aJTq/jz8OnuUSEjl7qEuvuazTIVykguBuZ8751Hca/dBZulO1CctnIZkX6WmX0lpa5DUrzY4ey
UTn+LuvW3sdh32JlGX+cQqhQXxNwMKTYObhHsa541fpm1Zqsb2UAeFEETxYD3uWE7+Zs9ixK0Nax
wzCXooMymJvqPmKSsNITzOmQnitmIfhoZXrPSClweX9Zm1op3Hx/5CMapxOhJnwsm9FDbWVZX3Md
pHIIcDcmphmSLMbrPq/3iFgdfrbhAPZ2kXmMJHPuCfiy9mOkA7QNj4WuH7rRQ5StsRGOtYk2X5en
NNLvxrA72kV0b0wuvtAJomp8bxeeGK2VI7VT3HsGriXpQxMJ4DVmH6vMrbL+LorSYtOMbRgttTJg
XAC4utSSIdoLZv0RrMii0EkFRXNPmmRRxaTr5eVG9iYo8kTd2VIKGTK7IdElXv5Ti3yrRf6WtiBD
/V+nPm7/dXmN2+qv+qgfsQv/A9NdOHWf3S8rQvqUH1aOloBxg3jQLcgMBsPf+yj8PHwe4/EFjx5M
TX+/1yPiA0YfPOzd9uq9+/oN5x/VJf1cjmDyQSsn4EIMCJBfoIvGZKGA82J4QQm4aE1cnf+XAyYa
q5+eQwmJPIvdKQtwplxAJLw4P1J2uVHqfpWR5YNUf08D4m+QxiXNxs3lWVrSGbH0m9ot71+UqFrF
qNToPPvOxI+jpPT3nbPbuD4xyWFQn/tG82ooXsupz46jYXEqGFOH2HUYDHehU9clABRxwFhwr5H6
AVjJet42yJfXI0adWz5f3HTlmGwth0FMMTjXCS4/mEridNSXLA1jLcQjPGxKsouLHLnVXdHM0dcc
VnxjfRMLei28NpY5SkToZ/zX2qgEY+boXWnYvasOuW/rm07yU8TYPc8kUhPbGH20KuMYyQjeLuME
SlH9W0O9ZZh9GoH3Fm6nXfXR8Gin1n3tt3cNEvCwGB4dOy8WnlOXcCbiVDdiHYr6hNQeMCRMcWYg
qjqUznHE94gak9C6sATvltgXc2fM5XRgIPapShJsCDIXB4+yvhBkney450+9JNXDSadjVGFGLgLM
X73MeIuyEgNf319PjHQXnQ/2HQqLHHkp7W1hBfOxnqrjEGhbmae7TovDbZ7ZzSq25mU4V+t6jM85
7dE6sLDuoLiDlWz2QRPfRnbNPVLYxQoLawqcEl+G1tgXrWzWTUQaddMdI0uODLp15/M0pNyHDTGO
LPc3suKtKo14LVifUngU2LYGe1nV55GIuoWBiTJyYo+G0hswMU/sO1tM5YK8YjwaCsjgIvDNVR4I
mrqpO9fOoLGdxhCCpfa2zPQ34fRfwFy8LWPm/Gj5+LMtotSOb6rCy5kFithGas6YyjW0g0/Tv2XV
+znVov3ssLc23IeOjjOLAmfhgWEHqbfsLSJecu9mKCCdWYMmTbBW4tXcGdMdphBbb+xMrOZ54e3C
3bX68GQoUrwiVtb1/Wespc6ljmA/buTBzvTrmW86GEwx4cNnYWwxsnoxW+NN0+SeRfPJCrSd7z7K
4Ln05gPKdG9jkzLQuPZDjWRFXdYD1UzfeR3j9fRkm9N1GCTG0jJT0r1S/xPE+ieLZROOW8bJF0W4
HMWljnZY4UfLaO4twOp640baPYnID4LMQxniI2FH4bUYWHxgbDgt8gHnkjLd05PBLA3GY6VF956X
P2gVftTFuFG1sunKQ+1rBykJQ2gT58B4Y5s5GVer266IE2YG34vuVozJgd9PRSo+c9ujfLYyFgQl
SwjTqpKrXMh0Ryyu+alE6P2x9cq4WcppCh5ylcIuAxdXfZkZa0GgATqJLlrV33Lbu3CJdyHkv0nO
7sjH4jRUdnzVi5nNUvYeAN9XKgweJTvB8LXKiPdUWvyscuMj23nUqE7WA5HyAc7c60ClzEO3tryZ
yU8YVAY9yd0hm3L7ttMxF7VqkurDgcx6g/B6vADucpVmTxJCRYFHwn3qi48Oiff85Vd1r80rV7bF
waOzOQcV+xo5c9OnTvkqsKREzzFFfOTYDgn7Xg+rlNdxSrfhFJ6S3Jhxaw9u0F+/9pIw7gAZTYKa
KdD0O6QKnyyreibHGfQr2Q1J99Vtxktmz8kmJJF3gfLik5n0GwxCnmkZF73XmgthMG8JRmwEu7bw
FgmLjTawV9MUL3H5WCe1+SV3OknPYa+SYvg0WAFeGqS9znH/3HZiUzX8mdNxYwbuk1G0j3ZPE2qU
+YKkrzuZTafCH3ddzb5KG5OnMJr28chHVMrzEOTbMMdDXc+c266bL8AIn2RkX5WJWHpieBoVgzqi
NXexrhoE3Y3UkcoK1ldO+jzXyhE3cbYiIXFAZrSqnRfvw1YyTSObd5nYzh0QGa9gxn4tLNx71ECH
znK6Jcban7gJ6NhKUER0YhSE3a5Mwicbz/QF4/qdnVtrjpsVVT7+M/z2eeSeMD7aNWl4MDr7k18N
OMWVy8pLL5aNMiZnAAUwRwh8+qJ52soe412PI8+C/IoXvUsPvNareJaIQkz/IPrppq10fkzRHhJd
2zW28xwwYh/o8EU33AX4KLHQnTeQQeDJcXStC/k10AHmJubsukiYsc/x2bezbR3U90TSzau0KHeE
ndQ7/PWnk2FYq8Q08cKJn52gPOoNjYFplt2myHVjUQoxXrObJgcVU6N16jUfCz0KN5ruXXSfsJWx
qOtja7gh4zOZb2zH+RxnyL8AprWPY+XwfoH3WE86tIIl4uwLcSzuyrTyyGEdaZ7HqP1ND2GlZRYq
pJwqBEzrTy7SRmobeV4E2lWSYKrymPqvwt7+MI76/1B+vzzFL/PoiXexk0KCXOk1kCcdfHXBTvjv
n0PpEf6o1t4l2fwajlIpYs9mK5Lgx0rKNPspH/04vOikcnjuZe4wobgnS+Xvn+ZnWcS3p0HpT3QD
+D+iyF/W/mGZTJabDoSgsXWr6TtbjFi0+qEX1yNGXE5L42N/E2b/Ay5avLp/P9Y8vyBt+ouhJg/8
z1DTVMsYxoZMDD39HdD+TxPBXsU0oDNcH60aUpY/mgj3A24NpspacnQGjz+y2+4HA7tZVjsG0Imj
G78FivypiUC/Y0Kk2EhoTBdvvp/flmSY93XuTONFL68bwjRIu/+9dyQG7TQhzExtxWf6+Nj+/AzO
6KJdcfv+0oqEg/1R0y8+3kJiZwS8JWERvmFL/9XSwfyFRvf+9IzqM/KDyl55SMWcUj0GHuQvE5eE
lnRqSzOH1Srbm7EpvcPQ2RXp2XawaJ2Nk0z1ug5kYK+7vOMODAvnWZq+uXcs9rJTjeOd0ZbWwvKi
k11mj4Vnpsuq0b8MWvrVl9pH5dFbGgQwuCXoXxI207KYMggQM4Jq4ATFZD8OMU5zti0xLBvbdi3I
67jcBpMk7l6SnOM2FGasanCuMWN2E96y6uNbj0Gxb1vlwo2Hk1YH/JUS/KYCT22Eu5WY0C87402A
zyJVgbUrS+N6iLgoSL0vdHgT1C3H0jcWvaU9NBq38lA8D7N1Ld1oN7hzuza6doueZysq74CuSC4i
pxwxTGrabRBNZ3LS5zu308nvaeypLe4QMzk7p66WCTZZuxrvwe5mrgT/o88bWV6yUJw62smrIp/t
nWi5pOj5arbJ3slhqYZ12gk8ZC9TFmx+gBtaejXNzhOIooOXlQLzLWvTEHUjbP1LppX2erTFWVbi
EJjWakirUxeMhGlM+8mKr/W5XhYB96ycTpCoJ6IuylU35/oytMdjO+hPZN7QcIAA5cX8YGcyXAT5
RNZWX1wXabfF6+oqndODXqbuQlYOMF2Hc3gtvYJNImydwHigTdwH1ogAIpoebsy8Qmndj902C8z2
xkMlfcqmEn2tZx6znEnheBGRd9v2KDUNVp0YqxGnjAdVkMXXfaHdjUNBGgx/llJmay/22dp3X9yI
FZrhJDcmPll+n/dEGRv42zkrDJ5uur7kOEex7IxiOzbDRmfv1XEl54a+Ksvybi7EdR7U9XKUUCRd
lg63copusf3dN6i8vcr7KNJiKV27wVNLA/2Km68FpBTCzi0SdxaXKNNxeqFFGt70MTwWuM/VwsDr
yPVxLMTd07JiGv0RxWp4HcXDWdjJrrZzhNX2OnOLZS+DY9uSCWYDCcydMpO74oZfmdALHBQ3E+wQ
cBTDY0sEG9DbR9GgQOITsqxTsCqCZKZdOtpES2WAqcwWWQtqh7Sd79tqBHLOOgay5V0y6Cu2ALyt
IXLx9jNf/D55SVzvXNZZssB0Kl1Ce0yLoB2BWIPB272f9f9ceuJ/0PoF0YZLdrl/vvXUI/9z66l9
HVMpJEZ4Kf2cZGh+QAjKRIkamTxl9wda38VLAv8G3Gtsdef9mGTofOBgt03PVbwA1ky/devhoM4d
8Ec5xnfCVQQGAg0U1ZL6UX6+I/xAK5HYeDjfsdvADxtzPGR+5iqTxVPcWN6aKZdB8QRSnaUuDbDd
7Wvb+DqUOtdIno8H7MksjJ3TZNXp/S4kfcjm9QBM554oix6ODie/xE1ex6ABKlQmf0MBjZMp4z+X
GQUZ1ZN/HdX5g60sAuvRIpWPkRFWYQ+sIcqlHj/hcHefk9NxcRVjVyrarlfcnc4Q5ZCD4gUiTNmV
+TdeivCGyfEbEGS/CU1tvC9qf0dVckwqOW10WZBKJG9rA4VCWWXEA9VXQ4HZl6i3tt5irmDLU+42
d8jzOeqn8tzaLk54nbVNcZFChN5+nljxcImGw9pFpb604mCLQ8Qd8PMmksy+fczD2qaJ90PmPhtG
5HIUjSQlY4vmzdjw4qDGCYEhWxkbK5n20SprlCxgvg1CEsBszeCl6ePhmMVwgbkdXvlVfPA99OB4
gq3nTvuSJBnT+ZqeLSzj7TiP8bIOXGYCQyo4arV40SMj6jPv2goLNqedUhyoZrezbllJQd5/IWrn
q8u36ydesrjGnyEy2pcI7hG+H25RuB3YHSp4JhMGWyNI0GxAepAJnGindueV/i0Dz/K6zo1zLRO5
1mujwr+zbFeUbeYWW/B7MePUmw7+ytPsB/xy/EM9JOwjWTs5dXClq4PcC9INLoXHtuyux4BbK9O3
OApuSonUyrDjJ1+0YltQiSDMyqOVn9WbOYaiqKePLLE2ohieBeLmfW4Nt0OrcXnM4xvPLNfSyt4G
tzYuCDMwBjGm60TiEBKk0dnvteA0WM0rls3uAi8BkxUOBU+k5e66dnvfXk9FW6/1mQQICiR2HdVV
OGgE/KnySb5XUu57VWVV+MYzPP7C3TIeBtvCjMLdNKijOyvYTDaJl1bQfPIFYJ2YCuqfiqdgTcY6
bteMJGn3Ni+xFwa4b0Xzg1WVxkKYLKutyr3zaufYGdNbFtXpij7wlpTH8OjMw3rOsXjA5tjw8ZVL
HUZv2GZ8SebKZ+/pfpGuG1KrgYjaA/ZXpdHedHXJS9ycA6qQFVOS6lC6hGDFLHLrlIEs/uu8wz0Y
YjnxCDILF8UYTpvECL5mVXCd4Ru5Enmns7fry6XTC5ahc3asEXSvZ92pd2E/rzTMnN2gOIyJ2a7i
wPyUVGyZHKfrTpHQ9LM1NvabrgfpfamLapcNHlMZI4vovP+5nd63OzbQxX9vye7fopf85c83k3rU
DzcTDgQmUlnuJhzZ6Ef+049ZHwDZMbPjRoAnUfuefy91hP5BcPl4QBT4GVFv0yd9X+r47HuU/xDa
V+Vr8Hs6MlJ+fr2ZFGFiqOeiMeN45nr8sXspMlzwcFv1LgMORO0qsQDpbZ09e6FhwxFSriNGsrWB
0mbo94ivqCFzJpjG4B86m6Q6XH6NTZhM955W1ts+yTOI/xjLISdfJ331OTSlYeBFTam2BevvtZWl
9Y+tN4vbCdqCMEwHAYqYnH0iXQ4rE094d2jOKA16YmPNCBjaeO2C9qse9N2uGguADYKklk7ZputY
9reTIW9c9qQ3NejcMkxHb6VnBVwvuN+CSF0und7Hx8iv/EXOT+XJFJK/13YG4aHrhE8liq34iwGp
wQp+YAnSFcmwc9qApXc1w1RbqN/SoDAugUk8ruwL/h9c8s6FXFhUPP0cZyyFXWZek8+yd2a0tOBa
RxNvjefMxf61jA6yMHddw52MGv7l/9g7r6ZGsjTvf5WOvc+K9OZiN2JlccLTQN1kqDDpvc9Pv7+D
oBsKVc30Ky70RozmYmYKOJJOHvOYv6ljDV9Wz80nWd0ak9bFZRHhPOq0x62EkFNpaoChk2JYjj4c
1bIpoSuh8lTiqzGni3uTjxV68uVBDtj60CjGcwSEh5lmOrdaYT1kZXaKBJBQZPaP6OudG7V77bUw
WDua9C1wlzLXD+XGWRng5qAGSyY4Ct1a5nF2F3bxEZCR+z6s6aY40nPv2VhC1c4iiNvvBn4weYrS
jIK00zRMwWinJtPSxlo+0XzPPwlgZ0+iogq+q2l2bg/hn5FsJTTGs2yCD0cP39Dp5kmWAvWtqluz
re5ts59muprNIy9A7NuDRpXHxZ+ZBh4okUlte9v0ZpXcX6PbSV9KbbVp0IKlTEeIDCZpG9qdzXle
gXKWrS6clyMiA3l9hwzCY+Kl+sLVlMfcjeBo977AFankrzZZcWq1C7PXXKSmELyOWK7LBglLmmF6
QkdfoTKb69oh/qfO0kMGZKphnXfYYx870JrXo+qHJjIFB7DQXAmraNaY1TNyBngLy9AV2fv5NE+j
eBEg1YztNLlX6ThTSJgxuCF4Dm3mjzNXKWAAEuJ1OCV4KPHPfLs/01r3QDXSc79Pz8zIhu0VLBr1
ENSE260cxqz0+ionMSdQsM6jxLy1nOQsSot40mnhMHNDjOeB+8tF8FSl9Z0V++RuPRIeWZg788py
ymnmUK+oQ8KAKF9RN1xWUnKDOPlhVHgndZInB4qKoCNdHzVGi71BJcjqHFZ7j81srI5HqKLf+1Vw
aph5OjHlzjoMC+tEdZLToEZ8VtKwjq5wVciiCMiUSUTi+Qp+Yp4SHDZhcKI2wYmS5Pex0hcIdVXc
YIqLWJZx22ACqiaRvsSGwZn1oWJOEZ02ZtjjwYT3LErrTb1Es5WKtzn2UwlVls50b4FSpRMwOGA+
Ao2jh7/DJBxjS1xq8zA6dMfyqUg1fa6OMXUNR8VYIhuR+oOV7zCt07b2b1VXu6g7rMS1oBnmbVjp
s6jFTyIq5GdM04/1IDgJfASvwNzjm4yEt5wE96OpXbuCplq6GXiVOpaoiCiX9NXvEVhHgVNLL1SJ
dqUyounvNEiE0zgqUtudq1V7UfoNdAD1uvWrldyCqLOokgSlTwvGSi5i1H17K5COfFztAqNOZ3Ld
H5mDDdk0Roa8Vw3BboynZgp/P9ZRJRhlf0X3jLAJmY0ZavDP3uheFzn4+UERINiAXmvvh49lbpx5
mUKzxO7GGSVfdZqaunzcITd8UNv5wuqIcsZivBg0rZtLLTiqyPGuejL0RqWF6ObHjpO0Cz0vj8i2
QCoqvjctYOmS7JuYCJsULKiE3CWlvKg9eV1UfYCmiY/SEoU5s0luVKM9GSHPwK+nZ9vqC2F3DlLv
GHf3g7By6wMETUm0RzOYGPTrB0t5GJV8ZXic2b3AuYX+vFDKpzoMVnVfrMfem1sBu7MamqmuKfcZ
PWC6rMi8dfTeIvnAqjlNvXqhtywCmoqc3Dm1L8TpjAimVT9Y15TFVqNuPEU1B2WgmXibx6LxCg25
pj2iEGVN+so5KxFtXqp692fMuqUrTmXO6jDZaFVpwka7oEbRUu4fabYP3pq7s5xngd9MJOipc1Af
5pltS+hjIWm2LKvyLoiUKyMF/I2Gzg1a6fdh5BMecy6gAcTSAPSjcIIoi1G1f2iu3S9Lp1zw+X6U
Ic3/1M4eK2JGWliEiamvjafwa4yZmxfn3Hm0wPlZl/vHNQLOE8TtCIKlDAhY8+gKaRnZKh41YKZh
6ECek9xoWoO2VmhuIvo2oPqXOS04glpHzw1YH7usmLq2cerTwJ3leZDS98oWWeMdDKjozS3OSfDd
k05Kr4Zs9MFOhN8jK38wOmuqAcFYui5tSOGLjnjQlWJAPi5aTGNxND5EnYurONXJjgmNpqSF0Hkk
pToTXFYPb+lI+LADbzvrLWpKFRbtshYkCBHmz7aUksBi494JPKhUYKxO+gGkn6ZeTptJpnt2UULz
4TSvMIXXW3/pB7ohTePGtw/pqznFaRbHmW9OykAWyn5B0Y6o9juFf/KfOPoljhax7a/j6KvgCef1
z3G0+Ku/4mgZDU8FZWbBMaU1R0T8VxyNVINB94JA09BVgAZ/xdEawTKlHxySwKZqSMYw4N9xNIMQ
91rUvulfKc4/IcBu0WPgSARkjLwDTFzV+aTlyxL21SyQz0BpBVR8RxBKyvfMe0QwcEQtlIAuPcGp
AdMP5BRPupx/L1XrzERZsEEXBXjAZYziIOqTgE2kfllF/l2KlTVqVJdaaq9yIVZYWfeKiQ5mjIrh
iJphbVgI1guBQ9VrbvI+vQ6F9GHjyDFHr1LPkGq/xxRsZqKTaAz4jaGbOKIOpqCjqOoS+CiUFX0j
ndNNt6bRGBxUdGgmISqMimcddCiigJmsRfn+HkrezYhuo4N+IyYpCSxw9VnqUph8zZ8R/NKJjuZj
6UiLEQ3IwKG+zTdb5g7aoUQMMzuoTRyahDU9GpI1IF+M32yxr5cWKpNl1dqTAd3JolN71PwG6xBX
ekRTXf04lGMa2Z10gI8LdZegdA8aCQyO3h+qL9qW5mWXkwnUSXkTo34ZCxlME+K758u3cmIc20Io
M5f7FVYLBthfS5obqGnWLXz8Hn1NHZ1N+CwgNlDeHJRH4D/fPfQ4B9vA1VNIdI42RHsh2hkXGiG9
/qQJOU/arzemEPjsZKQ+JYrMtRD/HDpkQOV+4NYalrbdzXN0QpuKOfOEdGi3kRHFEghN0bqvUTFy
rTBb1gYNEWAwwQBUJ5frw8zGR6u2HNT81Rr0RpHJpTVXA91t51Wl1c46bovuMKwNtZ6ZEebtk17r
Bgyk1KycUULyCbYo0ee6A42xoMqSaQ+pXxYTyaWkoOkIwdOv5391wFnG6gFVL33qRMWzKGZOkAOb
DfRVgIUCGfWM6NIa8+HY0qxTyVftaY1dFbZg5iST/Lu41+9Tu0eWtm+vqLj4AGCx1oAC+Bjm1bM6
9E9jTYm8teI/PVNnKUAvldseIi1wwjKVgjkiaNocts95j6LmjNj/QPfLezsy6gUs1hgFbvt+qAlb
UDECymJ1j3RABM2861k5tTNLg8qeyqHjrWJPOvXuY24+zzvCIeBR76nPJKwX8EnUPY/NFPG8LL9o
NYIGH9XbXA/yiZl5Ao81gehE2iibt66gYxn8i610t95YXARuPB10qTrpqvvUMAD/DxKG8pY1BjOG
6rk4o5lEm4pYF7S75FcoQfXQLTuEY0GcXaJD4h1Gvn88mukpCGTywpxQEB5QDChaXhRDVD78517Z
3CuUU35zr9RrHngMeW3L3cJfvrtbRHEG3wLVpHvMVfD+btFF0wCDZE0wEd91D1CYtIjFYCkSDNM4
50dvdws9c4QaeGYC9obN3j/qHkB8/LlGA7CXMhE1GmQcZOSFPtZowPpoUdnH2VlDhjKuQjU3wlNF
l0N1XtdJfA6nra2nACpPDYI7opYH3UOLp1ST61ZBIAZVhJNCLe/pGR7FVXoZJMGsllSQjqG7QuZt
lfdZNE2tbulpGLeUVYStdXc7hukTnJke7x+16kRp4gLbtoWSENn6BI8NoK+ZqNKQuIarmuZ3T7dl
VmptqvxQQd3BZ/fiRee1tnII06oMjoAM1h4pqUQNVUaoh9ZyroXACCWZ4oHZ5odWYCXLwnKOTKyA
9GvNrSmRu0kXogbmeL5+UoZBdR92bjprWi1RF23ThuO0bsJjq6IOMY0dKhpzqzSQoXnhp0Rk+IBT
XngryQuHhePiRwMVFJ+h9NYSRBekiyD+CeoLHJjchfxpCVpMKAgyqLWskNpEexg42iSHRVOMCPn6
5BuZ296o8Gykcjys4d20VjJN2+6Q4vMMUeSTvjPOHLTkJjaMnTJWL4cqWBNlH0PckSj8NKtGkHws
2D62oP2gZ3fZNtIh6mBzmsyntsA8auUkkboDOOxHHfwhoM0nnpOeJvCKmgwHPXhGDtQJFd5RREju
w0NyFe/MRE5hUsT5VQxTyUqDWZzLyw4GU1mjvN1zacBsSgS+F6aTY1dHsaA+QVFQ56HznMLo1+FG
aXCkOsGVyuHZZBUuR9W5E9X3JZwqC2ujnJg6hYM2ZphmAOOkuXKagrao4GSNyPy0cLTIz095ltM8
7BYOHK4Q+eEKTteoGYsGjldohEv64N9VI1wQI6xyrf7hZZDCxKP3LOcaHSlKYcqSItGJIkg0xDew
v/zZUISnpYlIBSV8EukbA/5ZzOkPMQrfxig5rGCo2YFNdaZ4orsxbdP41oLJlsk+pHpp4ebGCcD7
hQrjTQ5b3PAG5aSDC9fyIaYO7LgIlpwLW45OIbU3qFaw6KSgP+5g1WUVxTyAu0+lpV62Tn9ZCgKe
67XGBU3vZWB2kPNcHRqqintBjNJggkSyIKNmGoS+lvky+uJMNg1ssVhSjaMfxjRWphg7orZZOY+D
159yqdMK0E6swLvoi9qc9dyq2C9aM60ovtfhwPLTTFIuhM+LdlhImvt9LONV52COYSfNNSzbuSZp
lOT0GgZPNgJ9xoptoiXkUpKP/FDeSinUHmXl6vqlXgKGBTWBjnLPE29D5zzMpWWlI85CG4qCYyRN
pQr3naJXVnXYLCOXKxUMoUzxBucmemCBilis01TnBZiOaapXx6oG2NIfKvAKyAK40YlWoGBNJSEx
i9NcxcKpK5IHoPE8jFGigV8hRuEOTFZtXhixfZjVoTYDaQ9oJXLxQhv7GnJLM81k+lWqb4CDCfKT
JAAMHNXgpdXsrrZ0yhxqQmCWjKeNIJlFwaOpFSFgcPXAzYF490KLjHLvpZmqf8IgOJIM78CWmngB
szGnKdqtDAcxxlbnBADfnU+dPEVLsXCbSRfkxSJshpOMNufE1IKzKCpuWrOBnuf3155psN4p3qZC
Hx0UpxszNXRgKbuU4Y3TJukUKTRo14bUnYwZarcAhKPpf+7+TW/mtznln0j8NduSSuNdUomaKbQY
sjUq82Dw3zdnFOwkBLGGfM55xdG9MW70bwjUqJaDmgBpzgvY4O3i13Dq1VWTxozAzIkf/QPGzSfQ
AKGDaOKT2mINRYni47Xfy5LXlmXanI5DNBWiuCR6mP0lm+bdLxFswPl+ji8AQMBaRpyVbhSuGz+h
ExQwAoWJSvyp3BjOTeTjO4GGYDyMB4QkBoWhOm30Q7DH4xXSJB6YIeRbQtvy7vMstI9Kb3COFQuL
ipxrtz/3B+1SG7I2m5mDZ1X4rIWV9r3tC9OmKVq0LW3OTJ+1aHZMTPSTzjp0iTCkzPNMnWddjI0m
CHg3nASVm1IGG5BGQy5YnlXpgxHr3aml5/GZ3sh5PFXyKB4WmdtrSNVRS4vh61C/6zLtTG4VIzpp
4/CsrAHM4yLTT33nXFPkJ6PKH9PCW7iVfG0BZk4xvTUkM1uqMt+CrGXukMk5ydzok0N3gEGqRcRM
VanM4qF49m3/EgjaqaLmz43WXqFfmMw7vQzvrYimvONFzUqy8hKyqGEexQFKyzAr5+OoVpwFkvas
hxXdaRcqYFojPQsrBR+8WDLmamevyOpOq5Tjj7oeFTZ4mcs6tW4GRbqL8fKdZaEPYqKuPZX8GsQf
y8JFLoqyw9zWxRA1XpeRWd6Ueo0xuWmn/mVFQx29fKUkz5fRMIiDgVkEqD2pIgiTulQOsxBcRIGQ
wpEvQaR+F3dvgTyrbLKPABh6lkhV0mnS2Rws649rGe/iwvNASp6iQbSmYKpcgfKb0A2f1gcp8cqE
RHWeLK05sugT40hfaHMO6Gn0L9a6IULlv4E4YH2QLgODipIauE0dwY+PnwPJ3a6BOJuduqp3hL5u
P428wp3knY6guRU58wLnEdCAZknUacsrzyrdI4VnhP1tMh2s4dRBaWNiq+N3rBmdRaViyVfX+cK1
x++4HhgTzJN9cTvdEntZE7Us0NKruLqoOKsgRugBGH4/HzRsYZUUigU0VzzsqRE5B6NG/1BVl7pu
QNdGdQfzF33KNXGA+tMs04C7wOifd513ogKtmERwoGcIJiLuHVYzNvFpRxV8WXghnATNu/G67EDR
klXT2zI3Xr6UIxaa5RT6AvWwq98/4o+HyAuKCrw50FvdIYnSnJ8OEQfrGydP3PJUbpNwyUEQ8+WR
BJECf46zio64iEcN8K9sbtuq0n5+mo714T1/eppS31plG3nVaeFpCPTC4Wk8eh6VdaAnDdA8YirP
LCnoUwIxYgJHQ08HLBARGAUnc5IF9p0cVMWEmOvZjeCaFMVKzcwL2R0fDK/4nnRBAYm4yP+jzKFs
7mT29V9PcLYGu8c1jLjWKZK7//1f12WA0OHwORkXx8FfyTh2DyhuKCgaimLu+ztZ1b698DJeEnHW
1xtaQvlG1u5YFlcvNSOYs39n4s43/l1GmFBBhkhGneifXMhEBR8WHDg+dp4D1VZ1+C8oIuKYe4f1
xp+5N4uiSs5TWJz6qlIbKrtDE1BiBDjaqQ60sZYyJr2Zh6JNvo+i09HT8tBF70OzfgwtWjw5TZGS
c6MQXRIIrDGMeutUFh0UIlqgEzkqDa7orxii06KKnguKa6eS6MIgBlBzbGRn1VA/SqJTYzjdoy56
Nz7q+o3o5mR2cNyL/g5mZiuJmkApZ8YsEz0gv4YmVou+kDWU8PahDoItEGbRizGJMDGimSTRVPK7
WkGGwDuwrPo0HSOYkqL9ZBTdfQf6IK6HeBrSodKM+s6jZL90RPMK90nzzAtoaOmKQ54mmlwK3S6q
Y9mSMjU0djphQaCeZTpNan9Ur4BuFxN00y96VT5KZONJr5OlVnbrSg+OAWdF0xJz2R6kc+nU/LZz
kMjlXYMnQtaDF04j7y6rzDsnxIQAY1Fde6gc56FUq7NyDG6NrH+IdMiYqiaPM4qa52gd40lkdAeJ
H0iTsJYAIkuYbQ1RcFUF2in8yNNRK1xhF4p4r4pjl4Gb9WGocFAYCpbFlHrPJaMDjSUQIoYE7tDr
lePQN71lKDXmovCQaisaeW5X/Y1ZSUdqV5TY3ddHdgbRVKZHnw+6Mx2iAn/oPFWXQy3qD2E2K4MG
5AMS5MvI8kssptGoN1u3nxuNKoPd4qfWoKJA1/3p2haO4s25KTfQKVIUVySnWJY6kGtVpaweYbqB
PQbGZJ030bsRrpFcHiJiW05LVcJR1wD00CEBiZvaqc+j4DfLHyFywagxnHeefOiFVj811RAGXAYz
Uj9wFMhl0Wje1GExkRPvT6CET8SUEp0DyklGYwrVAYe0sxnv0hChQE/Nj1wrv5WapprFVXcj0ZOb
8qeEQ0BC51obXQ2Siu6jiteZomTPCfiDaZDlK31wziIdVYt66Lmcsw7ycdvNexvQv9UlHnultEFO
BuhFCjezuiHz08p+XbtI5IJ4dEHHoo+lReFtE82sOLgBngkbygmsOXttpustBY/aqpdphQyH0SHB
1yuqi50ktuF5t9KxAJ8lYaDNRkm6AIPpz4e0oPChgm1I1RTnj95E9l7j4vFG8KbZOsKBQKy1K107
wic7kmmmSB4KzFY114Y+nIEYIEzL/kTx5xnefkjMrD+Xo3zvVM4JZK3TfBiuVFOxJmDZ/bk5UFEe
kuLSb6p1rOOeFQyHdjZC73MQGlRgbbP2QhAW+rS0h2e1Kr97UnPcZfVFnEurug2jRZDWszGCZui0
/VSRcUdAUlSdhA1sg8bx22lZ18+5lICW6jsBSrbWQVF+R05NnlSZFE3UDGhG39mIEjcIVVSGZOPk
rN9x6haUTGh3t7H5UKN/Tm6gBjMO5GM8kfulVzXwQcf2qEYidaqW3qXp9+sQ2xZK+Fy4dVHF89wj
La704sBMwP/7AdU8v7+qjQLLOQCXcQ/0EpkYSmKpUbLpMraEba7iMgjnWe/SnMX5W2/cHpM978p1
9bMsd64cVz/Q+sEGDCEkuob40s0BlnpKsfBqO74rO3yv3Q6WC/Vd9LnFxjbCW8sEr2K2XbTgWEVn
SPV/9GlmTho9WCAyfcSBfjnoWXtQIM+E0khzkYMdmASGMWsBoC99OfCmbaXpAFWza6z2jmB369Oo
iJFSai8CIpCJShDoYjUOfaekfObF/G3bXhlmaB+MafOjylCldNC7nqip6qNJXcA7H6VnRwefgdBY
sLQd6QIJ6x+mxt4uYstGiNSmY93Te8LDNoVa6IAhy4o7xU7caW3D+UwGrPQ0FfCnj/wCrmTq0shT
eRFivbOIBeXXCW5xa9GnFFcXAz5HE3RT4chUSTntNHiudQ8ZxQFHODXbwDwEB3LggL6ZCLV1Ng0R
X6O3N/4QXXTcidM6RBQmMKpwgg6ahxLmwHIjyJ41If+Gbmtwkksjajp6uBokOEdAqDo09roOCSdE
lOphiTLOo5EZ5wjvPvUKw8HquhMYIjQ/JZZek56Q1BaoDo8r7v9+YlnpAbn+YR3nJRhgtYF1Kmd3
kDTiw2osbjSVjR+n2q2Epg+Ry2NXxAucym+47OXjwEQChfv/sII5SVX9GrXLA4yTSSnhwYuqItg0
vTtwgR4LJQoq4zqCLyA7ZqplPQR9Js0SBCSmRZaPiyGzLxU3KeYGqCWoVkDi8zwBlx837qFcDmtT
YjHUfqsuosi+7lMATbYrHQWety4hxnkIBUAtydFNyvh7Kz/PIigomSN7czQiHnKyAgqowb0uA2EM
C/Ncbsw/Mww+3FxYEXracyiDStNa9EBVtcRsqk/9hWlRIqvNSjj4DSy/EBE/JRjwtRuVe7NqTx09
Cubkt+jkSZzapPM4olmUWE0pXMupukLlxp/WgRuC0MiPgxa3NeR0lsOI9FGjGUgwydFB6KGKF9gQ
gmXRsStUXO6ysIznpmM/+p6EEr7tlYtW0eRplrTtLJMR14lGcaqatwmWLfRKXWOaFNK1X3Y3gOYA
tQTOlAoBrVQFGEdj11OvyoD76/5VbSIARYXtsPGaaprIzo2eNudejBCyVtXUGXMJYSaT/aS19aL3
pHimRumhROTEhgzlaadWP3IvoffIfc5scYVANgLQBjIweOpo9kq5+WzK0rUE2HtmJQJx70TPlsDK
Q+Z4aIfy2OEmnwyW8VC11rKwya1TTzlyU8zQ0UHSp70Z3XpJgnhQX6pTm0phKCXQ539gxH5CYIBV
JTr9E6UJj3IhkpY3IW4gAXqoCHlMbDu69yQjR48rvFYArYBsly6tBCabimaq7nS3PTEXMMMRCkKe
pfOi1rzpYGDVlEQFXwfzBzB2aIJkmY6hIOhMe6APbxXxlH33bKrgNFkz/dyLtAW+Cnd5y9b1S+Ui
9lJRwNVWmhkAuzTCctJE+ZUZ8IwMCyJ45vec02W66vUSHSITL0O7fggTYPf0Lm6L3ucMauSbMQ6O
+iG+Bn6QzDqkCjJL/tG2MDDsLtUmTo2IWhY3J3lVLlIZxxk6HBSTobKzasMnRyiYtSag/j59GpMS
pTZQrR4dGFzU7xD7xFMhvMlbAAAVUZ4VcfT5BSvTdzoL1Y6AD9lYS7kvn02fkM7K+nstIeZr0bQI
4vCOlsyh67oz1JTWgBV+hHVzpuvFEdLSysxL+gXaYtyUWnEAlf+y95V5b+Dd4xbZFTCwA1rthw7N
p0IOz2sUrCGxDOhP0GN2MRQu2xNIi4fYdUxjQ25RXgqVYVp4lhpdxOlo3g2osNmnhYSa+gX2zWgA
DLYJbyGX/r+hUb+S3kR6OH/JDi+ap3K4fKq4ZKu3eqn46XlGZHKd/b/90u8Hes1Lr4ecvHT9CKcJ
Ffm6DB7q99mpYTgUXT8ktC+f6eUD/26IeM3d0TwytgbJDPC/ScIov7xIKeMs9V5/TCnN+UY0R4mX
jOjl9fKG7+boV7Pw+y+4mc7f/86vvwG97E3ifvj43/+1Se0FoukfzwTjvJsKknESdUMFxfXyooT0
YSqEIKdu46ss+HG8175NghCH2HkSrG+0E2y4Fugbi9enSVC/wYwHPcDc7eEcUAOhCrfjQrCwpVDp
n+i/2BMsBHTAFIUSy55OgsBg7DgJJl5RCnVoToDN66fdwMGA+jX/UfZzN1BA3yzRTafprwP7XxyO
Px8JkI+AiFE1fnkxrR+PBIi9HJ+oVmwqi/t2JNDS2HywXSZBhdKFBYJO6+nlxaL/MAmK8c1goUDe
Mt+ukL08GeTdrwgaspz+JkDe7etBbApeCFZQet3LSVA3u3WX9WB+A4z20kPevh5QpwZvBqNwb+8I
UTjf8XhEZ5tLkHIzD/rDbuBysEDcAbHe3B77ejDIuy8EIIaogTo4F2zfDaoqgIY26dXmOtq/01EI
T+24EIQUAw1jCjCbSSAE+7geFPzBMWhD9GhPjwShtLTjJGC7i7AFqBOaWeIlbtH3WQSbAokLh6t0
bydhc2Dvci4631TxFbkdfjEJaF/JNhRXgWDZy8vhEw/m30knP0VMJlK/nIubSfg5WGAl8EPMY4Uy
Fa99PR71nTcFLHnCAHj1wLdeXp82BdIvwpjGVvd1U6i7R0wWphO6aoES20wCz/vDyUDE5JhIDKC4
tjk/93RryJtntMP5oCvfLAEvUsWdKV6fUmudAwQbRFNlpezl+SCgeTvfFOjeQed6LS+IisWH9SDC
J8eBSCCk/njt6/kgPFd2nAognEK3EMWyn+eAuAlxT8h6+7oQBNhz52+vgG0lZnitL2xJrU3iKoow
+3o6ajsfCVRfEVgA9oO8yeb1eSUgaA/G9lV8c/8iaGXnK4J7EmVPHvTnfaB/A6urIf35Oj17eiwq
m226w92gkUXIyI7KEPe2LgSg4OwTE7zZvqZSys4Bk2Z8w2ZKFNs2R784+z/cDcQKIuHk3NjcQ3u4
G3ZPqvmOVNqIhnDTEK8tUaOjGAq08X09F5XdUynzG8+YNoP+i6SalQAdEoK8sq8rQXhJ7nhDakRC
BEK2+atiI70agzITaNQ9PRhfE5tdDkb7mwrPROdJb7bDp3ySfhSuL0JhYU8nAXHOHVeC0Fuj5CyM
d34xCZRX+LGgAu/pJLx2ynZYCaRP9OPovirm5oZkWj/cDmQO6GtQmX+9ifbwdtg9fdLRElFVDabM
ZhJ+jpqJE7C4pzTNDSJe+3oyvFaEd1gPhEyUHEmRrNdy28/RAusBVVuqD4Iwz1G8f+tB33092N9e
SfyvNaYtxyPsPFNnGvZ0El6fzi4rgX690LYx5Neiws+bgj4EGpUcjs6+Bs+v7eNdJsH5pog4AZrJ
5o74tB0gf8J/goCyt3fE7mmUhfstEttUl7cfj5wJeOA6nI6b8vS+Ho+vCc5u60EFDok86uvx+Olk
QJYKA1/uy33NIwRLc8cQmtuQXvxfy+FTyZU8ArIJNoSv5bz9uyPU3StttvBZFJnEK5xp20pAagC/
6M2m2dfrUsgM77geNJBdIMQgkm8/JBUOEHqYpJV7Owm7H5I2fSlgLGj1bJ4398HHQFpE2uI/1GLE
a18PSW3384ECIx1ZxdZeiy0/bw3WA0BAme2zp9HTKxR1l4sCeBdKywYQr5/WAV8egzGb2XlNNvZ1
DnYPo4kgmQIdocXNufDzOgDShMERvQhnv7vWwiNkxyPSoJ4CgY9iwmYqPsWR1Bo4PoE87u2e2Hyw
XfbES9fawojsdeV/OiKpOqnInUFp29NNoe/cl9H0b2wHkTX9GgEMGUoTuiybi2Rfp2L3uIGwgJoK
Jflf5RXKNzozCtH0vkJ7hOfPjicD4FeL/hS11p8uCk5HfmApNOv2dQnsHjVRbrJ0VAvfyo8/35YU
GUCDcmjubT71ujZ3OBcFhAUVY+6HN/jGzytBRbEKMDiFt31dCTtX4zWRVJJNCQT0y+vTDclKQJXL
kPcW7ChsJ3c8DCw6DohiGuav2pSUFxAFBRu8ea/9y6w/mef8Y7AjfRk4D7jYvmFYCDw+ZlKECdyP
EEQ2ceW+Ho9CKGbH9QB2DVSnJv8KCy4qLQ41BvOVmrSH6+Er7ggSSfGsf0Ece5kEESi8ktT2cBJ2
Px5FIVqBDURR7eXFtH7cFMIMEdl7oLH//h3xb8zUX9zcqY/V9gsrF9uYbeTdX/3CGx3188/f0U1f
SLcfflOwdDdvviGliv//Px9Iu+pL8+ndT9+aUS/v9Pr3r1/x85t/eLO37/X2jweYE6zLB394+cHw
+kE3glb/G6Nr9bj+mSwr2gRv/7aFYfx+G/x+dPSfnt4G+puJK2hWf3/Vn+jL//bgyfoxK98Gejc4
R+jOg0+Q7d32wflwO489XcfrlkdSvY317rOz3ncfH22B6tMjpSrBEf4Fg6d1iaFpVtXb3oK4f+e3
mD3Ff5xm5db55+zZefx5/McsK1k8b2O9m3+y+J3HX5RYUW0bnDBn58GX8VOavo3z7oN/xXY9aJIf
WfxYfx5eQDh3/uiHSf5UBuv4bai/P71goO4+PHJBb8O8G/orduzxU7llzgWIZOdPfRyk3paDQADk
dh77ZB1tOcMEGfsLhq6qp21z8hUb9CSr/vjf1HuKn7bNzFds0dX6kQP4bR7erZav2KKrNSqRW8b+
ii0qxs6zbae7IOLs/FhXT+lj9hBsO70E/uALxi8fnh7fBvp73gWdZffBMz772zjvxv6KbbrKts7J
V+xShq6fyqdhyyf/ip16us63LHQBu9x5wk+f2vXn2NHACvYLBj8r1xwBbwO9e5xfsUXP4/XD05bY
UTQsdp6W87hJtgV3Qn9m58EvA0LHKnjcMjOi+b3z+Ffrh5KUIK233KXaV+zSq3X6x+QJFd1tb/AV
W3XzBmW6Lh+3HmSiJ/wF05T+MQuevG1f4it2rfgSC3bAQ1A9bHuPr9i+4j2OsnXRbLuttK/Yw+Id
Tpqg+uPsR1Dl277HV2xm8S6rdf20bfyv2M+Mjwz0ZF3+WG+LGUQb7SvWE+8xjbe/w9dsbPEtpmUz
vn3cv89U/Us2tr/emhMKmvTu8/M7g8UXCbYdyhRXQRWh6Ny8fc53E/MlezmL19uiB1H7331iCEy2
ObgL4PDug/8r+7GdZ16UWbbcw4I8uvOn/625/a6f/PdK8DuP3nASbLniBdt393lpKBAl2+pyoua8
8/C/963ZdWbus3jLOS9a1zt/8Pvmx5ZI2fjXu3RbWfYvMsHnYu2bsOG2P/tYixa/8RA/rcv/+T8A
AAD//w==</cx:binary>
              </cx:geoCache>
            </cx:geography>
          </cx:layoutPr>
          <cx:valueColors>
            <cx:minColor>
              <a:schemeClr val="accent5">
                <a:lumMod val="40000"/>
                <a:lumOff val="60000"/>
              </a:schemeClr>
            </cx:minColor>
            <cx:maxColor>
              <a:schemeClr val="accent5">
                <a:lumMod val="75000"/>
              </a:schemeClr>
            </cx:maxColor>
          </cx:valueColors>
        </cx:series>
      </cx:plotAreaRegion>
    </cx:plotArea>
    <cx:legend pos="t"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Chart Title</cx:v>
        </cx:txData>
      </cx:tx>
      <cx:txPr>
        <a:bodyPr vertOverflow="overflow" horzOverflow="overflow" wrap="square" lIns="0" tIns="0" rIns="0" bIns="0"/>
        <a:lstStyle/>
        <a:p>
          <a:pPr algn="ctr" rtl="0">
            <a:defRPr lang="en-US" sz="1400" b="0" i="0" u="none" strike="noStrike"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defRPr>
          </a:pPr>
          <a:r>
            <a:rPr lang="en-US" sz="1400" b="0" i="0" u="none" strike="noStrike" baseline="0">
              <a:solidFill>
                <a:sysClr val="windowText" lastClr="000000">
                  <a:lumMod val="65000"/>
                  <a:lumOff val="35000"/>
                </a:sysClr>
              </a:solidFill>
              <a:latin typeface="Aptos Narrow" panose="02110004020202020204"/>
              <a:ea typeface="Calibri" panose="020F0502020204030204" pitchFamily="34" charset="0"/>
              <a:cs typeface="Calibri" panose="020F0502020204030204" pitchFamily="34" charset="0"/>
            </a:rPr>
            <a:t>Chart Title</a:t>
          </a:r>
        </a:p>
      </cx:txPr>
    </cx:title>
    <cx:plotArea>
      <cx:plotAreaRegion>
        <cx:plotSurface>
          <cx:spPr>
            <a:noFill/>
            <a:ln>
              <a:noFill/>
            </a:ln>
          </cx:spPr>
        </cx:plotSurface>
        <cx:series layoutId="regionMap" uniqueId="{A2FAE315-C308-4A9D-808A-9274D8035F0D}">
          <cx:tx>
            <cx:txData>
              <cx:f>_xlchart.v5.2</cx:f>
              <cx:v>Sum of Amount</cx:v>
            </cx:txData>
          </cx:tx>
          <cx:dataId val="0"/>
          <cx:layoutPr>
            <cx:regionLabelLayout val="none"/>
            <cx:geography cultureLanguage="en-US" cultureRegion="IN" attribution="Powered by Bing">
              <cx:geoCache provider="{E9337A44-BEBE-4D9F-B70C-5C5E7DAFC167}">
                <cx:binary>7H1pb9y4Eu1fCfL5ySOSEpeLOxcYSr25vdvJJPkidOy2RO379utfyXYyabk9Vwam8fAatzPAwO4u
ulqHZFWdKhb/fd/+6z7cbvIPbRTGxb/u298/emWZ/uu334p7bxttipNI3edJkTyWJ/dJ9Fvy+Kju
t7895JtGxe5vWEfGb/feJi+37cf//BtGc7fJWXK/KVUSX1fbvLvZFlVYFn/z3t63PmweIhXbqihz
dV+i3z9am1A9JnmsNh9338O/f7yrwk2+/WAlVVx2Hz9s41KV3V2Xbn//uDMM/vjht/Ffe6XZhxCU
L6sHECb0hBAdYV0X+tMLffwQJrH78raGkDjBgnOOTPLjz15sIpCcrtGTPpuHh3xbFPDFnv7/Sn7n
W8Cz+OO/PoP74VkMT98FIH7/+ClW5fbhw225KbfFxw+qSJ4eVt5ZyfBFP90+PZnfdvH7z79Hv4Bn
NfrNLxCPH+x/e2sXxf+C8B/R5iHJD4AwPyEGozrmxgharJ8whrEgL9gD9M/z6hng6QrtB3gkPwHg
kcSRAXzrbYpy888DbOgnJjMo4YQ9L2HYA3aWMMYnhCOdc0x3EZ6u0X6ER/ITEB5JHBnCF5v0APgS
DjswwwbC6Blf2IjH+GIuDN3kgPyvK3iqPvvR3ZGegO3O548M2T9CsHkPhwCXnXDd4JhTIp5ebA+4
AD6jI2zfodF+eMcDTEB4LHJkIJ9vHrb5ITCmJ4JiYmJm7vexwBDrlBjcQGJ3AU/XaD/GI/kJEI8k
jgxhext+uEjAkz+AFUYnzDTAn0L8jYVsnGDdILCQRyv5XUrtx/n1EBOgfi10ZGj/EaYqPgDUYJCp
ICZFpvEMNR/t2RAzMXiZ4JbtrufpGu3HeSQ/AeSRxJEh/DUJk39+KQ/4MmYMHtUIWAyLnBkMITqK
laYqsh/WHekJoO58/sggPU/icptvuwPASgFWAJboL3HSKz8anVCTQiQ19rXeo9N+hF+NMAHlVzJH
hrSsykMYYiJOTIQJLN43dmdYxKZpUATx1O7uPFmh/Rjvik8AeFfgyNAFMnNTgztdHGAh8xMEDjXC
7C3CQz+hXBcwCUaEx7uU2o/y6yEmIP1a6MjQvt3c5xAhx+VhzLHJwOEyANL9ITI6AWMN/2DRD6/R
sn6fbvtR3zPGBNj3SB0Z7lYSVsXmAEscsg7DAgYf+zlk3sNp6jonVBjgo/3KeU3XaD/SI/kJKI8k
jg5hSLIMCB+EuwZXWx8CZkLY/lAKuGsEK99kCIKsXZzfp9dbaO8ZZRLme+SODPnbJNzEh9nPsYkM
PnjiTy/Yr8d8tm4Ibupj8z1do/1oj+Qn4DySODKEZ+EHO8kh7XiADZyfMCyoiV9obQHM5i7IkHwU
AqaBSX9Mgl+X97tU24/26yEmAP5a6MgwP9/m95Amt/7xQgJ2QnQqKKcv/OeYFAOS2+BIMMT2emnT
9dqP9kh+AtQjiSPDeQ7VFgfZvekJI4iaJlSGPL9GC3sgP7kJ/9DIM5uu0X6ER/ITEB5JHBnCi3Ab
xwdYyMCfYN1EYqgW2N2ywRcTHDHIZO36YpM12Q/srvgEXHcFjgzW2008VInkVX8AbCETyQxk6Ii+
6W5DoRCHarARc/I+rfbjvGeMCWDvkToyxJdV9D0JH8p/Hm8oDWKcIsN4vZaNE0hiEB0qD37s4r+6
X+9RaT/Yr0aYAPUrmSMDehWl21xtwn8eaILBm8bcNMgbNULIPDHBaJsIKgGH14gje49m+/F+NcIE
vF/JHBvecXeI0IpCyRAGGw0pyh9rd8dOo4EfF5RC1e6unV5N1OcNhH+VnoLur58/MmTX2/wQrpd5
QthT5up5kQ6rdBdZ8USXIYKhTOzX/XqqPvuR3ZGegOzO548MWXA3PkhAd5M/qIPET2B4gbhGHMru
n17jLDRiUO5p6IKNasHer9h+sN8YZwLsb0ge2QRYw6GPQyQt4aAFJCyxYZhv7NrihMJ7kJUer+2p
Cu3He/f7TIB5V+DI0IWiikOYZCjRhmqvn9yXGFfxDqdoIK4STB+t6qn67Md2R3oCtDufPzJkzzbB
IWr9wOKCUw24vWzXexKRApmIcjaKmKfqsx/ZHekJyO58/uiQLYrtAdwtiI4NqOHkAk6/7TXFQFlT
eNvgdLQln22mavQWujvyk/DdkTg2hJPiwx+xuw23h7C8xoluYkz4D8s7zkxAvIQNAofkYJkPr1Fs
fPY+5d5AfM8gU2DfI3Zk2D97lXB48xB2GUJlE5LNcPhiv9MFtYCGjnWgyEa79/u02o/5njEmQL5H
6sgQv1FQGFioh0OYa3IiuG4S8hJAv46gIU0JZYPgZI8csXcptR/v10NMgPu10JGhfb7J1QGMN2FD
KsOEI1UvFQbjXR0qh0wIsykTIxZsskL7Ud4Vn4DwrsARopsmBykBZFAvYMCZOf7inu0hwwQ1GMfg
nD+9dimx4bFP1extpHdGmAj2jsyR4f0ZWMfqIIck4XgcB2JMf6sS8KkRBaQ3qD5az+9QaT/O4wEm
wDwWOTKUz7fxQ3J/GP5TnKAhb8HYS6ZqvKwxgdJfRgkZSJRfOe53KbUf6ddDTMD6tdCRoQ0eJ1Qc
yE3+fXOglW1gfTDEb1cMUcGJgaCce89G/m719mO/f5gJ+O8XPLI5cJ7Agv/n89LGcDRDF0Brv0D7
qqYImpcYGI5qIciD7Kz2qQrtR3v3+0xAeVfgyNC92Nabg3SvAFqbYgZW++WYxjiZBfG1juCMhjGu
J5qu0X58R/ITAB5JHBnCl/kG+LN/fgETAoUlUKXN6RunKSFdyU3oIEXHtNl0jfYjPJKfgPBI4sgQ
vgo399vD9AeDvNSA8UsHuH1rmA2FRfjZOo+Ik+l67cd5JD8B55HE0eFcQU/CA6xkcSIIZXAi48UN
G+coIdsBqQ6w1WRUuH0VTtXoLYR35CchvCNxZAiDQ/nBVlv3EIQ31AEiIMWgFnBcOsSg4BPawPEf
VPiuu/UunfbD/HqICUi/FjpCsOdgnO9VcZ/8eOb/RONOBqW9us6gyO/ntrxTKwb8J4RdyORktGEP
j/ynRlP2mbfhfj3MRMhfCx4h7KfJJqsOxX3DIjcwAPz02mOysYBSIyGe/fJRRnOYAe9Q7m38x4NM
RH8sdoTYn1Wq+HD5XRXpIXZ5E7hSTCGwgh1geL3i0KBwATJg0OJkz9p/p2pvo79voIkzYJ/oEc6C
c+hFfAj8n1IjjIGn9rz3v3Ll8FBuBjyrsWflT1bqbeR3h5iI+a7Q8aE9nNqCJt2H6IYBSWsoT4ES
tLfO1qKToUU38Cwj1x12+veo9SbirwaZhvkrsWNDXW3zgwAOZzCpTuBw1vNZaf2VgddP4E0g1aFL
wosB+JU8vZ2s1xuI78pPAXtX4uhwLgLVJdUUb/l9/feBIIfj1JDj/tH/Fwz22I2n0GvShAaxP6KH
5/bst2q6Tm+hPBphEs4jmWNDGurDo0Ns4fzEIIJCH++3mg8+Re7UgJqHEc6TNXoD5V35KRjvShwb
wuUmVkW4qQ7BsTEoGNbhgDx9q1oc8iH6UGzKRkUMcG3FO7R6A+nXY0xB+7XUkSF+t/U2h1jTUD8O
x2kpFBe/kdgGCgZ6EEJt6XC/CrxGzvh0vfbjPZKfgPVI4shwvh0aih4iQwIlKwRjaDj5gvOYW4Us
Jx1aWr3Kck7XaD/CI/kJCI8kjgzhOyglhXuPprph/49u8rmroCtidJDO41D0yuF0KMy0pw1lH/ED
UQNCHI+8xffotH8uvhphwmx8JXNk8/Fr9f0QvuJQIoegVwMcF3x6vTpzBh2M4bwZh1bVu77iVH32
I7wjPQHdnc//f4Ds36u484WHu7r++PFs92Rr3nvLGpzphpbTFCrg9q9bKG6lCGIDwP2Z0fvxt59j
Pegf/PNmuOc4f59O+1H9VXbnOz5/xb9/KIe5Re3tffnnVXX2ptzMni65++WStb9/9+nrw918I9GX
qrI9D+xnF6vVw+8foRqVmPqwbf68P28Y6HVN2g9kdoW2cLfX7x+frssTwxYN9TImVD4Nl+Y12+e3
hrNGJsMEzoCToTEixHkx3EXi/f4RSAAoiDUE3BjBIf3OgMQrkurlHcjYPlF/Anr16AT9vILwKgk7
N4l/PpOXnz/EVXSVqLgshnE/fkifPzZoa0JLdAPBxiEgMQBjQQ4B3r/f3AwHzOEJ/J8syYySe753
lVW+yZdZ0GhKmuwSYeXlqXQ1R+tnQZo0NJdV2uvCLhQzHLsr2zKfcz1C5W1DkSseG14scy0mziYN
Il+fNU0camv40oVzijy/QzO31zT3yghiFXkyM7y0tlCF26qVvdmHygoL4ShPspgR16o7SkurKong
ncy7ivXSz1XmLVlTFZkMfVOTpGW5uczcXPhWHBWxpFkT5peuEVaZrEjXsJnL9YTKgFNb78tK25pK
lItf7wXceaj3SdrlyvVernb8+eN/7pII/nu6KPCvXw43Q/7102KbDEu3GH9omPo/P/XXZYPDVPt5
8+BoAj9fL/nG7P7bN9819YfLLt6e+hZcy/DEdEIb4NcrYJD9sQJgmptDLS+BWQZuM4c5+HMFQEoa
DBs0gITuNAzYkJ8rAPoAI5iQWMBBTQbFhEN4/LIE4KAPNP81oaSBmlAhzOCOpB/PYgctWPl7lgDW
hzm+swaYYE99KDl0q4QDJMMa+WUNiIj1Iq7N+jKsFfYcK88S/TRskXEa94nvWz6NPnW+iyVrtTMe
Y2L7ZlTLxqe2F2u6RKV/17rlOuDtba23Z52DfJl6VMiq4b3sVX8qVPm5iboLFpGVqagkoZPIjBeX
adue0rSiVhtlK9WHjYyKQjaOK6TDRLvICXkk3C2tpshiqaugs1JF8CwPtEz23JhXvs8tI9QrKQrv
a0cdTxah0c1E2UW2nqd3Bq0qaVQatszAtQisYatrSmm4WW3lsfNnKJBdYtpZeVHYpmq+0yqQvpNF
NrSOus98pqyaqi80awsJt2msSMutKlNMagn+Ql1jwVnaW05D5h7PYU0W0RLT2rTrhC+LNorszqhz
qer2e5c436OyvdQTL5NmUH5VulBWZASLIGhX3HPjOWqb3M5rLZHcTR9c3TDtFsVf0sT0JfFqYjtV
uaUO7i+KoNuo1HTWlamYlZs4kp5LZ1rM0Q0uWG4bieNZCi5okknRikXTBGtkZvVXLuqcyAr24Xni
11ZvMDUzHJbMw47oVmi2/Yx7ni5d0SeywnFx3um8tYOohv0uUanthFpnlTCbZV4E3kxTST7rdOXM
Yr1Qa6Un4YKLprzFZt1/bvrasxM9dGRQhPp5RyM275sg+JrkNT5VjNEvdRFFN0WOsiuPYrXiKG/P
MuEQu+7C5BTTLK+kZhj+mdPEqTPTkvasyvsQyz7Sne8tVxq3G1PLVjHWr4NEoJnnNeknvYMHv3CA
Z/6m+cJ9NHhYzSKBsWzKrpoFnFtdhDNZ+Gkl676EeZOrNSrwedn18NSbWda4Z0WcfdWLQlhaVl3k
XtwsHads50yvW9hhEzFnpldLo00vjBKX8yzSLZ/l5SxDYu041JVBqLCMSU9sWovY7o0A2QniymZR
p8+TinjpDKtbRuJ0gRQNzhO4e3YdVG79WUScryhEVtLTdGeh8bi3Ci1/bLGjLaPUt1veqdP/beZP
fowOzsXfbeZD1/492/hAPb84MrCNM6gegebr0LWGGAQ25F+2cejwqnM4mgcOBcyhv7ZxAR0VwPGB
XKQwn6qT/trG+cnQzx/6WwkY9N3bOHu9jTPoHG/AOV5QAbrNjlyZFjbNQKOOcRn0KetWPU0i8r32
SOlcYmqRKDrXfA0vucNCS6u8285wDRlQI7VjXMEu7lAlmzALZpUoDbswI32pN4Fv85bkVlUnG9T1
rgXbzabPitaOiFfYeUHXYeRmVub4V34mPqeuU87SqDBkzQs1412vL5WghR1UyJGCBmA3tKieeXkZ
2h4t11WcComY+rNG9FqReEHDKLeS1o7rfqGyspG1Huky8JPr3m0+JzRZFUZhShUm1MKl5loiKxyp
8n4j/Pya0kyHpoqYShHiK6yX4Xll9MmcB2ZsYydM4Pbp7JE47qbyq9KKNDYru23TYtPuzGxWa8S1
wyg+b7HxZxq7qSx4ky6NIo6snDSpFaTIkyTROBgfkVuobtekV/4M5/224s68Suo1Es0CsXYOlTCL
ghSzPE9s7KPaKsM0sPKabEuBraBxeil0iXtyFnf9sjcbJivXyaXHSquO1B2vwtgOw3QZBe6sTfy7
UGh2WcbXaa6vPa2ynEi5sPVH1zVAWkWGN9NblceLUkN8zml6iszoe1x4oaWYc6bX4iyuVQzW0onp
KSc4v0atnjrf/Dx08awgiRtfa33ZpYsIxZ109UD/0vW+SCStg3tsknnr5Y1UuLoHYzuHdueu1XB4
W1XNNjNQYflgamRUt8uy8y6M2OEzrWm7eVZ6j40GLrTPu69UF3dl316jGn0jeXqqJ/1XVfvComZB
Zsw1HhRuTxvd7b6FXhZIVabMMkhs8TqvpalnS9/Mrx0RLlnOtbOKZXedgq+VDl6v6/JLpy2Uxb3+
0TBNu/LKAIwtFbOSdvqyZ4/IT4yZQuXnugw9O0oNbIccXwSuIAtTU6e50y/aFJl2DibP0hLv3g2y
3gqrrp/zxk8tv3MXWCu+qiZZJrBsrJjHreSdJ1NW9LPSjVOJaLBqG8OxwCe46hztS17q4OgQZPvY
/2Q6njvjcJ2PLJxOwmq2Mc+XIQuYRcvkNDaLRnpRCn4GN6VHg8fCKy/TyNjUhXNGw96XQedfQHS0
TsErkDQR67gJmcSE1JYPJj/3IJDwy7pZZG3kyNIjSGIBtxsE/GvPklkUmiu9cL+SgKS3vUY9qXm8
lSE2PzHNu22xJnXRfMk8Q61ST6z6Nls7Lk/XTlJ8oa2zgKDqVqN05RF+qYni2tPpNjX6iyjKl0EC
c7OnYEVTFFd2jd2buk4WgZ4s3Uotct8Ts6AVsYTVQ78VdbHysF/dOLz2pIrDedQ2a1oWwex/pu3J
tBlQ7PS2abt9yl2+Nm2D1E/TBvdhG0PvAA73ihhA6v9i2ggEL4RwuK4Vbp8AC/eXaeNDK5GhGxCQ
NAQuEIMBf0QocIkJIxjGMii009Xh+rh3RCjQFH8nQhkqOoAKEAbUd8DJKg6MwW6EEsQp7Jy6r19C
W5Pcm5u8zy3oeFHd5341q42glXrkBEvNKWPLR+KzU8JUcnIvs6FH2fcyCm9Z1AgJoZENGRNdOqn6
Xmn6qqizs0Dzh00096XKatuhdTkPCPrWsNZdFLgp1lGWrbIaQodeXZJSW0WeOAfvW6Ic3MLK8TOI
1cFVZgVfxmAJ+kazGSntsqGJlWj9VUArxwpVc4NJ+VUopkEgEl93gYZkkmp3mqdyy6n9QmZKzV0H
DKr/JVTdt8aFoMY3ffCNfV3mWWGhyFxHehbO/D5edEmCz/XUuPRUb0gdGeveTC/quFrzwnlIRbNW
4PrijgbXRguxjhs7540Bbq6Lta9Nbs4KoM03eZd0sgm43Rf5Z4X1B5f5nmxSklk0DD+1THuozBq+
SCiWQcDPu9D1Zgi+g6MH56pPN4WfFPPaCdSs6crI8nBmLmLTWTktBDk5h8gxdS6LqvkWwc4mA4bP
Wp4tSiNIpIiiGNwENOeFu8gc8zLAKZFm0y+rBkGU1ovPPhXzqjHPm9pb6CWvrYL713GkG1Ydt2e8
6M+aggPX4qRflGcSq8aZLzMRfM6KjskgKL+YfbNuIIaQZRE9Jjw/x4i4Z17gXgjP8Oy4pLOmAE8A
lXhZOCKXRebe4TBf6akHVoSV4rShFfjo1HuIXXbrOt2iCpp2FiXRaZdgBGGAtm2NdN3TeE798k/4
3TJOzFwaNeezBKtCen55FRd+eCba6I6eJSgIpWCRTWE92R5xPJtVxWOEwLSxfEHrzLOg54A7hw+e
oyqbpUkVST2oa1lrxS2q84VvBl+NDi2EW7ky5ea68JmwyiQx7DiOrivfA6tbBHOj7EOrd+pZ57FU
QkEGt4I+P09FWEg/Al8Nd2SB3WQdmMY8FFUvA5FfG0Fz6nulb3l5d5ELePaGsy57s5QaV6y7r9wk
/9OLS2J7LkQpYIBidoNTaGbgSp5H2rWeiuym6NwoXKBWzUuizwPNoxBPOo+B224dU+iWl4RWrGfs
lMXt54Lm38sALHiaJNfMFQvNC65RGq44j0wLzknbacssn7DaVqEOoahZXiASGvDl0lnG2MCG+cuk
bI2Z5xgNuH+st3yILYEviOwyaeeEdpuWYjtr228cPBNddJ8AaE9yX1t1SjuLM2/hBdoqHhyeAFmu
H9pCc5Z+1M0DHruy5ansjP6UpOWfKMttz+xcG0ftvI64K4nyz5jKAqsMsBQtWzSCyiiNAJDPZe4v
uraaV7wB165aKc2B0DBmdhcVtqfEl8j3AwhAvbM6BT6iz5SYtxGtZB/ES5HpF6QU90VjwCLorK5l
6SwwhE3S7tyo/FWTk1RGWM/XuGkAW1M6WrWsivy+yutLv+V24Rt3unIjKbr8rA8YlYYZz4wAVqHO
gYxskZijQL81K2eb0QJmZx2tSuFyq2D1ErmshQDYXBokunL0vl57qZK+MrnkqrY8ozpvWLxutTiW
URBahsu/hqSSJeXLKjaAvtQXglVXitZ/6jhdOUY7p7XOZoEfwv7XxppMaXJDIPCwVJ9fGrorO9df
DqxOquoLh/Z3WQKEES6vHVyd5hn4PJlZy1Z0dt/jOaX5jGholSRFbRdJ3MMuTObCLNd6DE5bbNSW
6DSZpfr30CmwLHH1jSgeWg04tSvE3KvB301d9xr1/AwYV+BFek3Nad+c6jSwWNJ44Pq7/izSlFgR
16wWwmuvSKjNg7C7Avb7keB+HkepXdByVoBjOlcqi61GKy+7Mr0qGf/UqsqzItOsgOwyxaz1cfgl
IE5nu2n96BfV2mv1z2EVr/wyOfNEUcsqVzdVj22s8kfT7WZVhdILr23nmd9/ChDupVkHn2EHnhWx
eZ1rQKq5uvgKnvafbdaum8iDAKaKGNBe3CqRt8ZAgXmteek27tooS9jGjW7lZMIHZ8zJOmNJiyL4
XIdaE9hIi9EcwoHG4i2fhbpaYTMAYq+JgB5JvAejJpXd1RCqAXmzEX1/ifKIzMBdcG0Xo3mbg5/q
kOyRlXVgiTI4LxWD7bJrY9tL1J+Jj6+SCN8AIQ5BXmLI1ivuIay1S12cMq27LGi76jHsXzlDlYzN
+FPbaZ/TNrkDTiWQTUzsNFQIPO/msg5obxk9v+3jlNghBHfXeemrmRkyf2nEuiOpU0etFSFSe+tf
/Kl9DCoc2R8RqHArH7TQAjoWDn5Dg55d96TIoBC5E0RcottIfjHn9VVm9TKyxObupjhPTtUsscql
OjMXje0tk7l3arpL/9z7HxH/nIMaGOu3HdynS2Nf+7eD0E//ForMoC4JWmoMlDqmAOAv1I0O/itQ
4IIBGTOcEvyRg4JiJsg4Q5uGv8j5H/4tnPIXJtzWBT1uCbRtEcZ7/FvIA7yaQEDoUzi9Bg2RoZRh
0O9XBr5O28KMXY9cFq2hW31br5rOyGzkEyJzms0TgiuZl92fDNgCu3CN+5zws1J0gW3qTjT3W8dY
lLm3LptEl7EeA9Wj55L3aWW3RX3R5sDAGCIHPy6pvnci/uopd9ZF4U1g+Iu4K08xwTdZmvrSzzqg
0lNcyBzhszgKTEiCsU9FIBIrFFG57BvnE6QF/jRdD6jlpG8t2kaXpksuUUNnIktOWZitArMnq752
gDkKMLdqr124QT/DPH00Uu+malzzNHadBeSbvnPVAXnff26LCDxEHGFJcBBIakQxmDjH0tuksljq
fW5Q9S1oa8PyAm+JqySWKTDdMvIIuHc1+P4qJRdBlJ2GgUFkk+ePWe0h2WpJafUhv1RRnlqNm136
Zp2etlEZzCvluEDFJoEMvBy4JN11Lgqa6LYHvhCFLF3/yHEdXNQGu+8VPNzUibxr7HS69Ip868Fe
de4n4coUGpYOTruFFxf8slBtNGOQqpN55YEBdEvXCiCulb4be7L2EV1ARsCVNK/BqrbMvdZdghZ9
6rsyc1UooxhcKdI0wK1ExJ3pXegvCWlDoNsVXvhe2EM8YkhCWxOmQJIsI8dBNmrB0oZGoeYG8Dpz
oyHhLI9KvCgTEs1i4p+hOFv3pX8ZxGhVdm5vq4g/Or1Ppc8iY6YVithd1fkz5LBuATR0ONN9j8OD
QN2M5ZlYlD6w2n6bgwXEYKIiN09tXSF1EzeML6rU9GZwct5f6rrj2HUdElkQol2HcHZLRj1806yl
VCqq0zl3tRLYlIbLLnHTmRZVCHz2QJ2aRdEsXOzddbi4qio9nnkapEGTMoVrYyA/pDxqyi4Txmkq
CiJd1CnZ9cMjUjj+1hSm/yn2wDIUnoiXXRU7ErduIoH3QpcmJFqkl/bAGcJzlyQHV4k3TEmvMZoK
HHH1EESQ3tF95sxqN9KWeunPKzOcOU4sZBNR8LVEnEugiCPJDR+yE37D7TyNQovWPr3uUXvtt9UN
baJgVgDzB6ldHF4EkFBcmkH2WMb99xLV3rxMwa6FIszPFWqJRVpqh3lGV7RrgObRWL3gTmzcYK36
rERSarZeVsC9eLhFCDi39L4BrVivBdLx/BCoSi9baKq7Q1oD5hfSQRZwfqcxsKGQje4QOHXVCnhw
8HRY3wMb6c5UHGunmgEcLSGf6sIvrcL17qLMP2V+fNWwwtI0dl6Y3xyG11VC6y9dEG4bWp61hqbJ
OEfADzdVc1YVDBxVUUIUnatAuoF+huGveam3rmvjMQs4tlAfnuuNjmQt2OcevDKp/J4PgdlDwQpX
OlG0SvzuGo54nQHNHFnJkPGKIw7ckULg7dUepMO6pJU1JI5kDh+PC5xarCDmvOsAQpRFl5Xm3oat
801Pqq+pAdsD19PaZkG+Vg3atAGlsyIYEuxF4s5RhSDrQmQWGPkMYnDIcfYokmFRnwPx+2cFpxBs
phlX4M5zmUQsXkFeFj5Z6r6sgrC20jJZV76+DHkdW7XhzH09yS4hyd5JP4SwXWuFXbZwM51DgYas
le14mH4NnCoyZ0ncnse4vE8Mtoor80voROZKRQgS/f33FqI8yNK1S/jS4dzD4ApHqLdDyi6gmGDh
iUSTOG+sQECysE7QUsvosmsy4BeVLzXVXENZxFmIC2I5KvxecrFkMblAbrrQjGzhNp4NmFptiOBn
c+NxpaxCVY9Q3nAVZk05q5NuVQ6ccjXkC4zg2okcDWxBZYWkW3tleB0BHY2UdxcCPe3ReMkGvroC
4jpUULmAge6NnYLJCMhth6MzFVpcL1pZAPlNsL51KvC5wY5p3QKoiIJfqSF2cGl8o6s8/x/59+wb
DUUzb/tGw7nmv+7ueO0kDdI/nCQE93AQaHoyJI+IicxfnKShpQ3cgjZU8htMZ8PhqxcniZjwDhTo
gDcEHeqeklg/SUBywhkkvhiD4n+DURjwHSQglBaPnKThci44R8CgefFQljRUev7qJInW1CA2Jt6F
BpuJbdZROeN9R1a07rJvkNPuIllmZZ5L2mmMWeBumJF0mqzwoXoh8Geih5jzIs4xUCRZ6rY6pPP1
+rpteNJtKmSg3LPdNusrLNuw9nEqM8I5aW3yf9k7tyU7ca1LPxE7BAiELhsW65Arc+U57fQN4UMa
EAIkEEjw9D2wf1fbrl3VURH9X+zuvqmLSmeuA0Kac8xvDOK10JCufL2e8Jy4oRwPRnmyekwMxlND
ZAqRdh4jcbqWq3hqezk/U1OKIJMNWR4rP2nrNBCi2isl87U3cjwuVa1SGU3spfNnb0oXiPUvquUQ
4cNIrUtGu9XHfQfqIYNGn9yFzaxeQ+zMr16kUDNw35QQ0GVxi6lgmaQyEfXNilZkytpibcssqeMi
431w6krSZm0ophvisfbC4m5+wJFQ5QNKM4rRUDcfJ6+Isknq5EPQtW5Ft8b7NZ2HKXYpS+oIyosv
2QPmSv2araatj3Jg6+c28DYJiC5jly1ER0Own3gkVAGlaWr6UzKH5hANuCDjrnbe/GrqwffzZoYg
RYU/VV0ueFWscb4G8zpDXbHhuvIjhAf8s0UN5YERs96Pwyw+hLwb7zkb2V5IOMGxSVMcVVZdeDgq
e9d7+DbvOq+cSV6OpG+zsugnjdmCPxW3SR2I10aOwZPjk4RmBspDoIUktTySsDPAORJViJP2B+Gu
WlZT+xbbpHxDW8cOwLCKvayrXqc1D0AKeDhEW29guyapx/eYrqjhVnseZlirSb/dsP9F/P1Xe/md
WfsZg/qZivq/AK/6eesBuYQBw19vWj/zmd/Zzm+s3rff+mWzQn49RgvowcAI/tTRUSSYY2SA3QpA
E+7bPzYrGiB7bXsmCdmg0sDfngb2o6PbspERiI8eDPc0S9Ci/ZPN6ve9KuJwuOARGDGe6B0ileI3
RcCsYa/0NLlLZ0Oez7aAENOHgjVZw+x8H3vRciXc3DU5IQCBTE/n54aODjgK7/S7n769f6NPbI/L
+VWfANRFeMAYODMK4OW3nZN2i2p4Nc2XQHf+BRsjCuKJ9XGVudn0PJ0tnV7ZrIA+Dm1iMM0XQ4N6
bB0ZzRCV1X3hxpBb/I1q2gVS+s9r5CX+YYmj4s1fPN/t//4dBziG/vSOAVPhQRQ4WDbM89e9ntas
wrVdzCV0UVnuYrfK5xkHV7g3bOmjdF4cKk9MtTGHZ/FW/TckPGBeu/jAp3rzpXLj6Ge1p6LdaOp+
Tk1bkTkFL4lipewBfDYTv2pHDogBzDl/GSt9bqSNXF6PXnxTD9XcftdncKf+e9Luz5eB0ZDgqYQs
xtoIv33onzg7tnil9ZQcL50p+EuPPS5IaRNgaahucnfWDfxRFb58//df5rbWfsb7mI9k2QSUCc7M
7T/b2/rpZSPiSqrGsrt0yepf/KaaLt04ZHVSVC9//0q4ff70ShwPD2B4PghQ/W9jvJ9eSXV0WfVQ
9ZdEEfpR236Qh8IkS5A2CmyCnraulSxJDx0/su3/btFsi+LXD4qFgscA0hAKio9kp18/KKCdGgxd
W1+YbqKPrZiij43c3kO0tmMeD1CQF4JLfwDlYgPU/D17M5KPJ8sXeu3icCBZaEXfAOHq2mewCUAd
q2RZ3pQ3o8n1ViipEe/pcIxQE0zfN/q/XB7b06B/f/9s2zYwzAgo7lXsaT9fKBJPURdFhYeRT9F+
rAeDnsj3GoNGKVyWrryyVd18KhOurt2qq33cU1dngT+zrwYNXZ8tVQlSAlTfWz2E7MscqYp958P+
8k3S6E8XGX0tFtGWXoo4jYj9NouNh6QmQ2XCG0G1KoAuGF4BmDAu5HszT1M2OE3u53aJwK1VFdhE
v8MgdVAQJhSwF6nbByWjFoWFtOU7K9r+tIzGpCrS6jkeMYssdFdkE9DTGvBHKGxaiLG7WOWNOGTX
MC9Ln6PHWQtQOcFctccoNvIhEOVduXQhMAYwIRdT6CcTtChQYhAIqV8vAfYGOq1rSmwirmUVJa8F
mehVFaM7WUs388ySiqLvlEt98pIBFaVdknXnAy/crcJ9VqM2jxPKKIxIW8P2xainEy2C4ElXvm0O
BfP8Ol2rpviE6ArQKnWnvQ8Q4NudUmNwggSgTr7m8ks9K+gIKmybx5oXjqWzpiXQk2HKwCEBBaQB
v9W2dTm1g977PvrBXEbMR+NqywQzZ5C6eTuGw25S/LYqvJLsfL83Rxw1gcVcDZJOYph871oC3X/g
6jEKTXSYOCCw/Ri368ckBrk5EifW/dwk5d5zjnwMRmm/jqVSUbYGBl1nVwZzuXdG9Lg5rM2Xcp6S
/QC6dCdN2B47/FOAXRSQUzy3M0vFKISXsQI4E+uBk6bUyCLD5LxrD0Pc5CWdFnJv0YqAxRqITAVW
ktmHxvLx4ELmruNmXWVxP1lt2jZdarl0w5cKnXOwvo7Wcwz8PB+wlfefg6UVBvLfZKZJkYtpTNs4
4MZ6Pcx8MsWpHWpU2hi19I+EeeFJLGE4AazhQFIXTTjg+wqc5a4DrYmpq2yszuMGs/dskMYvbitN
YtYfm4WhY16c5OY6Hk2IFWWL3h9tNuEs3MdeJYrbGbdOXGY6URgH+mEztvtO1gNKVY3Dq8jdXMeZ
V8ATA/WqIB3N+hGiRwat0RZ7ADyyzccCVcEeanC7ZskaYcfsgoaiqK8GT6YzZqrj3Vh7bZv3ZZ18
9aaZ1WRH+sAcappMySXCaLG46kJmWARbgBv1uhxHgt2tyhU02zYvxnnVez6MXb1fZNwuRxCuoI2i
YIELgblokQdYDWovw2UN3nmqXf0dcIsGA+umJd4thA1vxFfede9E2/L2FA7cyLypTPywolYO9wJw
tH+ubAVZKGVVUJlDMcyqe8RhHF6Jcg0gvSq8gxzdUAni2HcrzxKxKHvTgqTaMN9ODbvC9zHuA3wi
d2URlpDnQLCptGYj6pNuFeH6JhukDOwSvIF2hx6w0ief1PRY1qwBINg0OtzVfV3s1qmAlu3ZQfE7
UVhBs7DGGA0TWrF6Z1JIuvdVUUZ4uxzzVX+p1v4EEdGWecNpZdPt36U+r3mH5VMCkHC29tbUuNr7
MODJrxgw1riPgou/dvVap8lMvfBpkTaYLrHiS7/ruDY30dThSCpH1uAXeAv2Zg/Xh9+9ot/rqisN
VR7ooI1WwMimNE9UBNHHyEF9SRMfi3c/dY6F+RiDq0+hmIp2J0PdjFliC2BttX6V1qKyEKWYH8co
tp/UUIXHmdmyyIFBEuDISYG/E8leuH03zP5ldSqk96OJ/CffePgXNvbGbWK4MJfPQSvq4+CCwJ46
Vo7Bbe0x/oLJ/bY4hdDjgcmxGu/cAi9NRrTFtalshzfWj9h0zzjB+EuYEKzuFrvksAMr6/qTgd0l
uBPoQpuHIOk4PTkq7HQDZ81WfFaLu4sAtLq8ty1eGqOGFRpg0Jr1QBq2ffjtrVvsT3hfqvUvGGnj
U0w6wldVNX2DNraZcesoWTb1fTcw3PLDhKqgxM+wpwamq241RndDl4aqIrjcdnDTTetVChozmbTb
u00NyZdZB9umgZspwyfCBuLQf6NONl37UgQhv0rmusY0vIK+m7mljD9iOom34QaxPITGkfFcoswV
5151jXhMcFocxo74F81L/YoHMsU6BY5SB1d9UvLpXFR9Oe+WgWmLAheIhgrwtWaE6eVzI5vozk1o
cY+aLHPzzsZtOWIA4LVfwcxse0itQTaiD0jCvA6WatyruOXvAJG3ezTMpU4ZxTa3DLZ6qHsznnnb
CMwRgiEACiVBeqVzFfCXQXhzmcugw22yekXIT7Trff3WYkNerhIfSyq3246di8jDN+rQw+c4ZKw+
+wMEwAyQpplx0oYzQemtxYeBz/zJW1CmX63cDP4XM3bLCGXTZ/OptgH+lGv9CqNcW8blSeGy2Mxr
eLxf+3k2N25h8hFUh04TNh5p6zA+WW2Mi9MQf1wPSjZ9f9PFjl57htA+r3TXzudysarKkmhsqydU
IuMXwjtsI9g6McFoqtGOKbdzonEKLPpRltqv3/v9GiZzuqICW56VCT2OPzYWQ14xrymvvELZT1VJ
vDmTbATtWYPyvnejB3p0mDTY53qdsEjrwIjwzjVyjS4YHUgJCmEm8Q31K+qyBdXNmNtK4arZpKvL
dFgZ1KJkHGWOmYAbdrMEG3pYE43V31BXghnB9GnMCjXG+p2NFv9JVAPWGk468NeybMe7jnc+NthA
cbFP2iq2qZteg2SyyTZgmdlzFHTawjVRGnpDC4jXD7oYOXwcJVZ0DocNriYah8Vd16Fp+ms2qCq8
CxyRMciunuNzOeeVN83gKbtrxwJ7BqqxydxIqNhoI3lT7scqaaqddYScFk1x38PSBpGeFhW7+dZ4
/J/WSG7qz0M/9l/N7x60X8SW/zyj2tYp/LWc8j0A4WcB5rtyvP3WDzllc2JCKQnC78pvgNbkjwE5
rJggMnHU/+Fe+6H98n+FaFfg7AyhlyDuHIrxDzkl+RcsEtsjxyAJAx6FWeEfyCngPH9rjaAuU8RN
oLcLCJDNzV33c2s0B5iTaI8vt1HMxz3xZJePlIyY2oZJoc8JES5K9Rx5gCuLTt1YOz2SNjpECQwH
44Bera5IdO06KCyQdrt0GukVNBMYnpZw3Ae+4Ze4B8/tZq3uAwrrZ0yNd26XMjoAcXzPV19kXkQ+
d5rCK1Gt922NoXFhe7nz1CzTsGS3a4KJUNdjsysVpJ66t2vqJyXcVnXZwaEZ3DehJ09zizljW0Q5
+qjo6DHn0igsxpPfTF2CUrqLMMhuHmBcfbONfuzn+lq1my+MxN5JOM9dlVyC6jNc3ZIJjGcQPHBQ
bWkBXBABmXZHg2k3uk7uCstvYCKDkh3I1JXzPWnWl3ZSz1zoc12NH4gXHoRq8WZXGwBkF9c0WmBt
AnO5quQLjpMmWxYcapiCnxfW91khrYZ/xMBvFrs9D4rPTRWOaZT0e8DhOfM0hlrqvahbHDPb+L6u
2iHHPvVprVEbbaMdm6gHtOoyIyLUyd34bQbkbeMgVeH1CmLnTKOfgBUsH2CiwLGwB45+gJ3jPG2k
GswWa5KA7mHzuXPRkLEB87lxBILfTaPKaCvg19icG7wEzGcDmDkmOEE2d4emKp83v8e4vBUszoNA
mSyAIQQt9teJlT1mhfCKmM014m/+kQRGkmJY4pTF8JYooe4rmE2SzXWCYgk81eZEGTZPSgdzyhyY
FwGzyrS5VuJY2TSRYr9tp5uvpYLBZYLRxaHzNZvzxbSoDDYvzLy5YpLNH5OMEWbTTWl2bHPPMNmB
H9ocNf3mrak3kw3MNs03180YnwubYGfdHDkG1hyyeXQMzDrMwbUzOq/ebUfSsYDEuLOmadAD0Bqw
IBw/xF/Vzm0uIOAJj2zzBa0gTY4BrEKm6F02dQ1smA5lb63R8oaUnkGG3cd+9dqxsEg71yZ5NMbX
bRwc4ySBbaXkt66DkVJ6QZSxyj+RksA3qXyTRlBBMRR1t73zTkNvBqj9zWeQWmgiwk9qsXeCTm7n
l+0bxlMX1CJtOtjkMtuI5CJJhrQYu/maL+NdqMIvguIEH1V1DOXyyQp+cUH3CPuAAGK3vkptCGT6
qAQoKsRelTARmiJ+HXt9H5TV1nQ2b2Kd9XEJisM6WZYF0otTeIsAP5b1Y1+VFjd1DeJCNe8627/D
fGiBEYZ+HIj40MUgcn3TQ7boCzQkfXgz9cmLGLyzX85XCW9JTlyUx5W6KuDehJwxZXOEub3g3qvR
y4GJ/rofWpliyg63R8neGzTcaVOG/DgrBqM5Oquj9bHw9MjpbdD0ibfT6Au+/Lccnv9px+L2dI6/
Oxb/h4Qb/cvH38/F77/287kIFR+J4njsMf2WQ/DHuQjPBMPEgIQYVuMcxJH041xEJg0MC3iqJrzd
FBMK/OjHuYic2gjWQcBoQM6+OQX/wbmIKvhP5yLmGLBYIHULJyNHGMIv52LiSs2npJpuBVxSV4nk
9Gbo3DnppM6iaXiJ4T/WwjQA0plc36p+1N79tCyQPlbQ7b6T97xSXWqa5d6U9KoHgrXXcgRKsS6Q
yxvfO9RypimgrX3ZzNUJmgzJSlXQFFVzWWV81t2+ZTBfPS6leuXV0qcehrgpQ2MsMoBk9Gp23noV
qc7BXL5sntVJNjvcd97RwM5acvha683huvg9NEO/4aBU4H9VmxM22DyxyXd37KP6ZpdNNues2jy0
8+CBz9h8tf3msJWb1zaIOapo2G+bbz7c0s+izZkbwaKbbF7deXPtznJ1Kewi6LQ3T+9gx4u/uXwN
7L4DbL8L7L8VWXYB7MCElme7+YPN5hSu0SHAxpZkdhqnvNv8xGXhGbBRpvyKciD+AMfcXOx1pKsU
UiFUnGr0j3yYHqomfEwE6aaTiivP3NeAsY4Q+zKA5/FRR5iiPsYGA+a0mgo2pyED1Rf6dhZpVERf
AY3Y05bJecC+3OzWtrtbxHiBgfOqk9VFk+CcGG/fj/bKa+Ndv6IC3zzzYs2iWn2xXfBQG/76/zcP
8i335G83j+8PXPl974B28nNNTb4lG0ZxDEoIHl9Ux3/sHSi3E4CeIbaB6Hu2w4+9Y6upgUtgjMIj
6v9eU/t4OjtBPed/D4v4B3sHnB1/2juAUiAXC4+DxQwVj7P5de+YFztTQ5m9NQ58NjXNu35eHhj6
7Fzy8hZuFPG5r+curZfwKYQOn82hVzwmzH71KrIHDU3TNYQCBjk6J51M0pYBF6yH4tNQwj7hJOCr
eeoeKJflgfC+ONi5uElaUEKVYp+msH6M5/Vd1RoIddJMaaBoBrK8PTZMXYVqbPEXKwQf8G4Pv/8j
XgslDJC5wU6QNyYQbSKZRAZ+4MY0/Bmpg6j/mvKLGJMbOhT3hLrbCtJIz3w0+/NyH1SE7GkSzqmg
850L4ISEDRaVXQA0s91KT6RcrKvOQg1bBaEBHNHKP/oVhBNuUN02tUnyaVFhHjbFIW7kgLFuy4+F
ok/QQDGX5LspDPNJjSTVQ1RndQsrtg+1EWJTAjp/fYn4l7YvdkPgbiC7XrHZvJ8IdmMF8yy4iRrY
/1JIVBpTlUZueZshTM0+27PQYzAMVy+l35YpT7xMJlKndGjTsl6PImC3tmYXRssM9pwX8BCfpmk5
s745eM26gxE906N/ggx6D9NPl5ZR/JDgGypqYJBeP0CAlpeB8oe4Jp8at5LUEe7DcOvDp8zscxvQ
V5HwS6CYRYnZ0b2afAgnjp19kTx5EhbdeCUv8PKiqOnEeQ2LZ+WGi5o81LgoJUcp36hXfXCz96TC
6dpV7sFA20Ff837yxGfJRZRGEdwXgypZuso+yQPYtdmyPJIJ02lN+Q0u07UVbKcHsSvoV19FORS4
LrXTulesH3cB3ao3cYxFAndLyQ6rwHE0dP2HsIuB0IxL1i3uI50s1pevNRDWrkkxCL8GTvOlwIrk
Q9iih+oPvoyvpng59rH5MntUpEEVPkVwq5V17aWggu58giwRv5ndDrR4lQ7eInZeNYFoDRMFDy3c
GQZf0tp52MQr9AgUjgcTq5yr9riQduD5iEbgqihteQHSDAgatespxD332po67TGjOFbQL9PV0Ode
L9X9Ygd+KhrZpj0b3YHORZ2SyVLok77Il6mCOd5TXyNhDb+2PjTK+6IqxJJjNKLX5znqAWhGs0tG
jqOroY9dEcKX7pXhS01Fn1MfvTOP1rRY4MnoEEECbQwWaSGgvvMDJPpxBxAIgz87yKsajGXezoWf
Kxu+9nMEB+SK201WWNKdNXFaOQybwdFnHoxYmF66x0S5OO2r6tZV65fAOLQXZbKDX2ZP0BlPTevn
q/MRKBInFQibci8ZuzhKU6PqbCXJuzrqkLaCNgnZTfvYmFOdAJTHeS1dfyfraa9mkMWrN0JvHVXq
zeaKVl15kY0DZhE/4tv1D8CHL6MY7pyennnDj0NIOzBD9tMY05e+D9+3hMk0KHQmJEhfrdd1H9v6
JaocerG1haAYQn8uZp6C8gCJWclrYtcD/i+4ylqAHzPRq/Iw5wu0lw9hA3lWPyvBXpSub+RAPw0j
prakZbcxbIbxBLyc6ipMQ239dDGll5HC/4QB3UMSdNe4eDrlYrWo1thzO8+QhmVossgmVa4TUBKr
R3d4mhWSohq96w1upgW3HlvxOavgNJbwD9aVeRATdoHAvwIrc0aezHUTSXTQnJlUWjjB4ZPhMLOh
M5lYInYU2GleNObNq1ZExnAt9mbidaowbusK7uUznPHHoIOiWxYfvaWFuXJ99pYwSIGjf/ZmLR4X
xPxkg7VHNVJYxBbe7FipP8OsUKfeQFTWt91zncTwlanP9Yr8gzIg7ZPrhqPXBc8smFronbgakhX7
ZWrIDgY+bBv2xFpVwLQ7oS/H6aDMZx5YlKatxFobW8gYqSSlN1wNxEc9S2QJ19smIY0Fxg8fgnY0
/01a5H9aO4Xa5m9J0xvYzP9NPfQzXwqIFP4W4FrBVt5s6OmPemgL+wNxCiXKR3rwN/T0Rz0EIRGZ
WYTh2T1gWMjPJnP0UuitwAghKf67/PiP6qENXPgZHwFFhvxIQDdgVWHm+h1sGFdSL1M0xZcy7FYk
EMUEU6AeTD3deZDOwA2sxRTMqQd2Uu4Sg8wkRCO16AKmWixpZSICsWiqSWvSoMRrlNlIFo/mMGNS
wXNI6xAewxXQvkMGkZgAP0ytp3YrKanXAjD1uEK4yYDdk89R7O4nwQCkVx5AdRYNXja57h1A8DrD
nPloum+S12yge5I5HWrUAVPpjftiIk+iC9AIxhLCEU7JhTx0Sz2koAiwcxXqrPr23Oni2rfuZRnh
5XSsL3BHt/BvnJDngtF4qQKYNEQNYA2gqXQMuR8JDo6pWMt0duu7lnGcfjMMDBA4vQlarHIIviAY
nu5sm1xhJPolABayq6f5vXFRmPqlPLc1iXZtv9zBpbnsbTzHWTxxRJnM2mQhWxE0ZWK5Iws8nEs0
RKD3g5xE07LDrqWRNjJ/8aiDDIXkkwm4BGBX/4tzqkcwzQj4Xh/rSEvY/OS1SOANgNz4MkVLmwlt
r8epgQhTzwEg3PARtoe9ZlOwL5oCQTAgDYqhUCcKb3jqaH8RQf+gtc0Kps413IWVg0sSQyKk1WB2
NslPFEchkjbmHezN6YyWVlbUy2ZVXtGihXCZxADg1zDFCSfSQfbNPlmYt/dCgxHj6sM5OohrCHYH
vyzfTV0nMqRX1YdwCeudF5d3SPfDtASeWJzhV/OENlCT4V3ZL1iJTXReFv/RlC6PQSvDkOMfm048
lFDI6ijcYUA6QX5c67zAOD9VFD7moUEiGHH8jkQ9yxMdvvXSH4++6scs6vpL5HfmUIWAFsLmGVD3
Sys0Igr0LeahcFlw2JopSrRsEzSFbF8sS3aL3Lrc8JWoCcKpiA6zlY+uiUAda6hlRQWZGFPRbBnF
jIUeVGelBtAEHMpmZe27DmEPsCyYd66wLz4dn+jYoJ4d1kNX8VsxRpknEpiVzSfHii4dOwvigjVq
p7ccrcTHzN9Mj4VYm7QX/pT3S3kqR1oetdEPU7y+onz4oCMEwrh6ETg+a52LmfoZJdPzXJMYxRut
d2AhrzyvvwK997FbITWSUgdZ0PuPPIr39UCfUNAfvLC/s6TGNK0OHwHKJ7ukIi2M596lrOhNzZSX
hU29d7V8V1PWHTp/+diWqwM+Uh6neaBbzArPOq+Bs62V/R5pPq+iQzrDMtbwJ7k1OXMAcjvukwN6
heEa6gdGtgyLNJA036I20tizezkut75P3wYJRaMf9EUxhuqwqK6GFp6v2HdvTc0foJGyNIYIn/rS
Lem4Ll/t3Ar0QujB0OvQLEhYkqnR+AfJ7CbuT49x0WDpkBD5CT68Jb2ql0wDugRZVh1h3v8YV6ZD
mk7X5S7mN1Okb3yPvjUgwHa9k3C7NQsWFPCo1SNfB0vPZV8fEZEB0RgxQzEIDRY2NlPOPxNYufcJ
yHC0c/EDRerSqTToblaxZegE4sZvkLKwVofFiDPIynsxFOdWilNl9GNRwUvl+Ljr7HCNcL3b2FNP
CmmeGy6nUwID1JljX8TeCKsgnGg56yd7EE3/ruvho2cWdYiEjB8VFkOJEnmb9Wxf+IhWdOoRbDh3
Cn+8bl4d2l/cjm7fwIyWtknYZxwkwr5ZqneBfbMbKQbaps67hZ6ruH11C75Rn0+P0pogL+Yes3Tk
M4Sj9wJY+K0qDWqzhhE00FsQT4+yhX5YB/J19rEYVBc/qQEXzCJVchdJM2KL6DTS5djdLEBQhYWf
bjBpKuUM4Kd5wEfdoSm+XVtK9xHVSVbOMCSukl2Dbt0oRnKa+qZGXkniTtRGj4Eq3leMY1gt67fW
QoJGaoJLfbt2x7GZn8MOpH/MgG+BS535+P8k1b5ZjL9F8v6v6NuN6vzrWez1x+bt3//OH4rzFsUD
2QfTPYpB56bK/KiSgvBfcBpjChoCHoRyhB/9qJLwdCQULqiSGH74q+Kc4MF3DBqTz6ArkY2U/ydV
0pZy92uVxGDk4UDlCabIOMy3n//E+PIQ+AvRHcJaZlmevbLVxaNzDZRMhDc2BwvRK102DQLRVTuM
T+SJDpGFGO1Fx6YA69kuQYv5LFpjDIMSsndwm6YUd08atv51EnWwZQjctE3ZXXkQBG7Y5r5xkuyB
ucCMDNMuX5O3CBQI5BZb7oqCrm0WVyVGgfYsECDlfUuS2jKlDMKlgi1lSm55U+OWPGV9cZBgZ9ZQ
HSyiqfSWUUW2tCpYNTG+RYCVASfNR/7GigmRdMntqpMTNsrHOvEOHgKwvC0Jqyv6s0Y01rBlZCHy
7b2ExzdBeFYbRM9A82DkSaAIULh3Hn1EbQUE2aGJygUpXkNEcU1wjaQAi5CMueV0jVtiFw6NFEAY
9I9BbfQkP+st36sZgjPiMy9aBiJlorzRiAIbEAlm1u6r2TLCIE5hdmctsEIF9wpyxFqgoBHoXNQX
Kd+SxvjagWRD+BhTSCEL2XK1IpYsGTZBATllSHs5TVtymd4yzDgmqf2Waqa2fDOBwXhg9StOsQPC
vfosCod1Xy7gv0pVfR63nLRFITEN590hRoSa3LLUWqBw3ZauZrecta0QU0VF83D4CkmFHOMGmWxF
iYA3CFG7hPlfvS23DfOZW70lua1bptvM9FOypbx5XB4bxL5JyHkIMEXkJkKJxJYMF23qjdvS4lAz
XiWIj2NbjpzYEuXA8Lxilo+4BfrBkfVeJ97TPPivVhU4FRBKB8/zsu9tw3M1ikvLlmOzJdgNdMuy
Q6id29LtPD/ClFeVe4Hgu2VLwANGsWeIxAMLhp+LQQ17zCnGTzP6nmsXRZgvthPyo0zig1zE7Jse
8PnjY7v4rkuLqJ44YmAGRBSZhHlwsGM32KEl6XiOM1wi7RDfOChChN8VZtdgC9pzD+1JWjQYOHeq
qo7LTG5X3Az3SyLYofESe6+2GbSzwVUYijCjiNANNX5nrZV3K0pU6cyRHnwWhIMh0iHgCX8hORRH
d2qZB+VN9/VVkrj1wObI5n1dm3SpbJmSed5b035OSHmLJKz/yd6Z9EZupV36rxR6T4PzsOhFM8iY
JIVC87AhlCmZMy/n6df3c2U7nWmX/cFAbxrwooBalEopicF73/Oe8xzh85K6MgaWC4heN0sH8KMr
slNjM0no2tPkWstdi2/qpYJggPiBI8nQ2OxGbR260FVhGhh5WGGSRYHu0ZjAPhkEornsuzw3OrlS
p1LxTkxkVjjRQsLbng8S5CrXR9yYle4P5Az8obDhJ6bdl3ZQdprBxDIa7YHVrMGN0T0qND8fGTrc
QNQZ/Du3al91pzF9q3KnkA0TFJy06f0qcQpy8G29JZ1R4qtY1a+Npj/jbY22HjngcGIPvavWmbdS
Xlg7UYKy6kAs7Ma8EdxT5N83skt/BZPUgEvCgXlCack20zocM4BKycRPrSrWVgO1hItzl0r2kvik
MIFjAh3tbmZJaDLcgb8QzJMaeFMvKU4lOKfESs3g8wYhQD25kvk01eouBQKlAoMagEKtOepOUTAE
YmIMsX9ddZIgtQzoVClQqaiu9zaQKe4OSWCxrgyIMPKBhUSlX7lzeV9+8qmS8VxJYpUwUw/EFRSr
GAHSAmu1gLeawFxxg/iYJfeqAIDVSxJWrM079pN3/26WPjdLKuamv74h/J+iTqv/ckeQX/XbHQG5
hKpjlke8EpBUZBz32x2BpZOUWMDxfUbc2Ef9dkcAN8vZYahYvKjGlJasb1tp9ye2HDKoS5qRhlRu
Fv/gjkBX3x/vCCyUuIwbiCn8OzXofz/cEeLWmbLMcItrRWte4pSQ7Mq4rC3WodBAvmUM0107hI4F
1GxkTADI5i3NaXK5+UcTIPAybT7FDMg/zOexpW5VBvZJTu4ud3hsJsul2keBrQi8F6A8UznrFwz9
iZz+RwWYZt69lTaIjUEz3yMe6U2tkIqNrfliRkQAR4uniXhuwH4/tJfR8jWpObBmKIK2tOYAu2S/
caQ2YS6qDVoNvaJCuNAXywp0pIxBahoYJp8NqXLgY30Xqn0kF8VwKpWQeEQTKXntWgn+swq5ZPW0
p1HqJ5lUUpJEmRA0UVcyqbOsUnEppfbiRBCm+i1uq8hvcJL6OjLNmsRXPZCtGvkm4WdiM8AlqcT6
NaV5MMZxGeaIPpGm30dL0bPhHkqfixzJtw6NqOaE8Lmb7UtjSTeRWz+5UlGy1YWXycYamzS+6/Ws
fsW+/bis5nTRSzq7wehRaBN2maZ9RQQ7pFW+K+uJN+dgcQ5MbPsHI9L9JHKvklh/NBp4HEM6XSu2
aYd5PqyBbq1xuHrYo+PWkxeo4dZQkncLBPwOq/hGwwB+Iey3fn7DJb81a/utWwyxG1pYJkMXo6RM
pXj0tKS6K1RAkB9pvL5Pc3K7GiqL96EWjKpt4rpv4ChOEc/3Qe0rdT/3urjW28i7NsuoOy5exO2C
nf3k2Pu+5dapJmoKvcxbTka24kxNRTntCNk8TdUUOGmZXBmz+MB4q+9VEXvwDFlIrP9OQr/4S62/
nYReRPFf9GL5Nb+95WRtAhMGRGtPAzJqff+W03/CDqoiGDu2Kp2hP7zlWGbDKcXcrlHvgWPmN+8N
bzlmExuCqIdoDOz0n7zloB/88S1HVtg2yb3g9OH27/3hLde3E7OGns3XdQ8Yo3bx60XtPZGzZJPp
Sx+sWiXu01ErrnViTHfdELHNUDXAfGuk8dTPIPZFhHxrGieD5G5IggVHuJN9GJAKNj0Dw0XSjF8I
B9X3YpHb56aYz14c1xvImc7GGyKBXjZeterATbLygpGI+jXGwManfSS+hduH3ZDilTBmQRd0mvZA
lKfYF8D5dhlX9NoaDsbi3sfN0G5JX+hEuOr0uoBetGFN8qqwYtl7k/tYrXr60JiTuEr0pdr2K69F
RKx5o/EruE41yNez2nt7KH0SLsdKvf90r0kfG/qwt68rgvExJjdBVh83EStiyScZMMJBMHmZpDOu
583uSa+chWlOHcwwd2I11LHTYTO/GLHX8du8EtJvp0rnnZAevCpPXi1MeUhRs4+D94mJ4qm1qiKs
pYMvwsrXS08fqD5qJyoNwnIc73Pp/FNsnIbSCziDw7Zblv3MU8CvpGGwl9bBJJqgaeEm5A+dEYaq
74QSnUz8hu6a7o2ogKiJEzHCkahIayKdAnKsWFWqA9yTgXmWlcF6sgR/0r6egwaPY47XUTfaJ0oQ
vpIhwD+QJMccV6Qt7ZFOjVFSi7FMKpN+sBj34U7PXTDhq+RUx6hamnsbx6WQ1kshTZgWbsw6Xm+w
m1xk0qapSMMmITLqN6SJ03aB71wbC17bL+RMrOXgSLayw7ysfE7OrdbCPLdaMKWO9aFw70wH1/Q1
ZYF/yOgdySFcHYvjKMdyRw7oOpM6ZrnML0ZU6UjVIGdYbrpbrBxdWcOKq6z6bWtZ42Z0W4jjcf61
wd3BOJEuIZYIhNrM25J9zyBt4jSgCTQ6KAvxmtjCOjLxAd+oPKlGXN8WVTXzZBMPcpGhKNdR76sk
6tCrzL0GQ4dhhogo5SolgPeJQguVLcsSfSyLvqcbwoJFZt23fQTaouJEz42N43gnZqXiMJkWiM4J
Tc8h2EDi07x2eo602W37TU0dAxBD824kU7KJeusS6bfeeNXibbjKH9tiSI/aggpgFtqB2Ym/Uu9B
x3nuyA0qU7ydViRDc0p3fQMUaeOV7a5bcm4GSxK4TfElKSwqNWo+6nxM6tqZ+cWWr3XSHVm31Idc
QWAHcKhdJxNQw2hQklv06/hYmS6LGDc6jQ0CbeZhYl681S8q6UMfuWFF9XyzEE7E5lfnRMpWF/Kq
Hu3VpkdE7oS5W+LII9HcdIe6qS7iBBgnNwHj2NnxemwybH+maNRQNDWwAq/drvlyVNT4mUsUOZAs
nTe8/fKDkpoeNLb6qLAAj2cSZnZWvzRoFD93VRl4CR/jGyfLPtZs7QmeeQa233/nhF/mBPS9v5kT
yrd30f5ZS1T5qm8n6OcwYLIj5Yh02a1+NydARIQ1aMPTRGOUDtXfxwSH3AN4nV+6hb5nZLg/6ZqD
AY3DyENU9Jx/coAyp/z5AKX9DTiB5C9SnCEP2O+kRFFbrLGWqLtWC+M+F92d3sG3NrubfAZEiDst
OcYqQWvN3GcLvpoyz6NtNNq4j+Yh8tWmbnxnwTFC9PJWNUGaYSvTEM0xnXSrdtOrDRsrj/+vyhFJ
WGS1dvDiVpcpg7vW4T22VsL1NTFfKY0qYO4B96ewRtkosxUFTu9kYTGCwm/7qTmpVXnPUhc9clyr
y0zHqy1sncaBiCuqXjg7s8N46o5iQosEMbe21X1SubhSlZIDq+0OTW1tI7eP4Y+Rz3TM8oMU/yMJ
aHR83doLQ7lT1lzzo6a7WmXYcbXiLxBO2PuxAN20Ygqr9pBpl1psvI/JW2tsQPTuORDjYBrBFsEu
Qh+E0BZUxZwH+trVYb1kb9PKmERf2fvQT0et5wD2VH6gdowOkGrP4JIg71Shsl4OvXacTffVyuyD
UDMTXjAENGraLtu4BdBFyASqNSyTWbvO7bbA0DaEGpGTTW84nd/HcXdwWhIy5Jpv9Xgybzwl+Trr
1U1XucQaC4MuCi3RtnojdL9zRg0sM6NgHYk+LHJp6crxvrSqe6mnyWEZUtQauEyZW93OeceVfR20
sDEAMbjdwoLRIyHPFbEJ46Yf7+JeBXemeU+xIjKfsqJdo2bHLnfuTW9905S42pVL7veMDdmYeIHQ
E9bWJKP92qz3kzrqG7tvjobGz7K2zc4zSpaykVap59rsqzuyRnxjTso6F9er2X4l4iMQmJUzD/ib
J1LhtxAej0muPbPZumpJdgcKjMAgnYyPeRo+Rrxs266f0Vk7N9oTtv6CTqoC0tQhDMttX0p0ydJj
uPOuypGbvdSrd7E2Gi5ekezEpFw2y0LyQUU772MWQSKPEPS67tRnKx+f8T6Joy9N4oCjN7gTZUp5
xxY6ITo7PDWGc8ibPt67FljaRRSMkXYJgL062LH10CZqcgSkSWNctt7x/zldEqoaSbsKEfax3W4+
k81jS0Rd8+QfbzaWjWpHNuKe+dSJrN2M6zAQxamqY6cP82aGxeUnS0plXVfgyZo78RyrUbyvkqQ9
Z7YFUtFogrla4MAP5aOrQw2O+4QwKZpdpwucRkZdhVEB6r9Lc3a1S4+ZKRUo1Jmd4KMcDurKfqtx
k4OjRcXO5t/iN7ZBs4b8lLrIj5ANV1801d7sYawrdpAJ7qNZhkRXF4rGJ83sNwSfZ/jeiRN4cUcA
SEPf5L+AxztniKmwpR+0Obuw2uEojOXkme3d6GCAWLtylyhR7leQt7iQaqdxHh5SYVV+sSTn0hxu
8nh6dHMMn+X63EWo/Dl+Q78U2SNwiqM5q/ul6+57Fz2zGSrVh+hpgDCfL/OuCR21FdtycTuAf/NV
1Bo3ebUU4TxpoaPXR30YKn/php9NK3pNY+0aAsgJYMmZ7jI0jrH7EkXWDK5wfS4SpnO2g25IOvu1
K7GXRAvXzl5nwkhMCN61wM/FUwOhZskfDUoR96lpV8YOaJweJgK2gpWK4N8j/PMIl4PpXx/hVx/t
14/3Px/h8qu+P8ItmXn8XbT7JvVpP9G+YcNg8VjtydP42xnu/GRzqEOxwhclQVeogL8NwfZPnN7w
+lACKef+h+RiXf/TEAwyy9ZlhyYucszs8oz/7gw3FH0iCJ/n15pq9u3R69NaZYtemsqTK2BdhaXd
lgvW1Ky50Zw8GPTysLblfj4c1Aj0cCXQq4EV9O4jgX+IKOl4TwNXe6HOhUieozibfbtnw7OgNG4I
Gl8vOZ1UVgaJuNYtTpOpvBX5cj0ruGA8R3+DamltrDa/qNX1TBKcoSpqH2HTM+2KdTu4aGnq9G7X
zm1t0EBA1rnexzPU7sEVND15N6D7fh5Fq4ekCBlkNdXG29rnD1FcnhXTgJyqLv0m5wh0RXQzldiC
bGnTjRmXSPy7+9GWUl5OV5ytv5h4H/1JMPKMGbq+EM0YYv3P9sBfitAjuMiLPbLDskmeB97NQWXV
ObBk3idrrfKKTSqcmIqBgXiy+2SfdBG3oqbWHFYr7ERYjSrFnsY+2QmAAYcpv7hgQxvfcoGZn+yx
jTEKl6vfzal1jVCqb2It1U7U4x2b2dTPSSVAU3Q4JuzG6SF/ZN02EaTwfUYJtgOZ+xQBrthT/LgG
rL9GtpYab4g5R1TLtBZ7McyPC7duTZgMxPPoTSHZkh5NR7G5ceWdkm/1CYv1Qp7oi9YYZjAMiu80
GQx03p9sFLKgx/aTsC+imHHdqnRaYZkDb/qJezXa/KMQnF5dfilUNQ5KB52OMOOG/tgrRMWrTtF5
kMo0sOridk6qY623L7qSX2YTZ3Kjl/cM+lPYJ+5Xs27O2PNOcA4ReJPeyc9WtqR6yN7VYAdoJdl6
hVeR5Ew+Uf2a0Z2Gx/qA1+MwlKAe5wg3CUUSbliu8dcVCggTMGyp2iMlIFgj+ZZXJRvW3l8tSKY+
F+p8M+t9FxjJHA4aOlG5PMRSNF76ygpSZmgytrXhs8k+9VCDAxeH1p7dOsZul+qvlP8lS0aiUV7o
LJAMclWeLZaXg4gxxx1T9Rios3pyrEkNc2IHPsS37qiSl7XTGS3JKvQwLTpanUr91Z41ksuLuJuc
OeWGN3mbqOocgFhgdVK5TVZNzPqO81FG8Tsm/IJTvNj02cKRqWRnMFVMlmjxGrrTZugWWDRgE/1K
TN7W5dFXNTMOKpVEVBBZfYzHNxbYltOMLMKx6npx/+/58Xl+yM3OX58fcBLfxo/2rfvzESK/8Psj
RHZo4xj5zTby7QhRqVm2GPQ+/bOWXNT8PgZaKl+kwiL7NcD/7Qj5xcfLGOiifWoEHP/RGPhnR4mL
ZYWjyOax0ml9ZoD9/gipYhc72uiKaxV79p4CwV0Ss6xojelicMaFoJ3eXc4DcQxDXbmIzMO5ykxI
clX5pSWlQcC523PRskLPaJdNPNmGn5lJs4G8jhUeIS1Iele+b+w1oI6uPDex95RYdEhBjTU2GAMu
AOJctpa5d4UHB0VJds1SP0VujKuica/WdmHPIHI4qUV/jKUtMjet4+qmWBVN54oD8iG2CAf2qXvj
TRxzVZsyfrZvukWmwLXix7G0an8i9A6RyRk3+bhe2ZWD6xFwj2YYz14hnux5vPBy7XJyaEWxyGAT
YMc1nzxUbQRJWoO1FU3Szn+LV5RNsvKio8PETbxl0nVYqdWXBGCeUbJPRoLLL7Hm3TjzpuDJeOsL
7o/VjF1TcUiR22uCPb8oAqMli7HQ/RG6bsUZRUwK3Fp53dKJCPvL2IsEYZTR5TQVvKvjddJ2dNdu
M7thIuPNhV5XbRR9PRuR/VXv6/t8wNiLM5P0dHWeTXu7JOUhhdtDo293tgfnIWmiOKzN5dlO2W6l
k1UHSAT5hqS72BJ9wXSnO/QZrDftXDlbLSmOs1Z8JCtIAbfXH+yk1eDU6NHGFphER0c/FZGzn934
rjmZycFmDFYn98JeaC8GNrFNnZFlVQOTpV+zsMcCsWsH9zmxQdljY9DZZac7VpOVn5fiK/U4Ish6
FkR6o20LF+KKGodLv+zTBbmzLLMvbWt8OJb+QYIh3seNeZK0GtgR9NaoYxlmS2E+GhY5BcycjPpR
uhFVcywt+1BYGgioZNu6MTMUdLBwmWesprG97NzPVVZlDX04jcpNWk/v3ppP7YZzJNuoDKRrY3a+
w4hqKvhTQRnsPVsOQrpEEGPlDHDR73U554p2foNbdU8fbzB2ZajK2C6PLs+R9yQ46jaJnJgbU2vC
1MNGnDsDsWDYLHDambH7At3EsIpbbyRZokc4NBjIK8++jMZO43bDrF7EGZ8Lh15dF21la8iZnoJp
dUsWDLgDAJyLhdE/QgIwpBbQIwqgsRIsg0Z2IAuC5Nxj6FVWRjuTYRTL6zUbBHhtUmmgGvccIT0k
paoGtVQjbGSJorJfe2SKTtykpln7LQqG65bRYbbFaYZOQZRrOnq6eEf2Z8xG/yjNsg6dvMsx8it5
UEuZZLKkONRYcZCsCp7rTba+6lJXaS+z7NChtaSkreg15TEYy+htkYKMvjRXkZRoKrSauTb3lZYo
iKzJoxLnH/nAR0avBM82Sk/nsceW0g+WObqMi+IequHPntSH4pnnzpCSkcCTZQJz9JWaeXSMm+pS
0WfrSkNsIi7VnOYRShgcvyzEqxkFs1SnhigSm7hFsUqm8Wpsc/R2qWYVXnqXtDzNlhlrh7bIEoqd
+YvDDoPAuaw3bE7wO6/4zrBsrZsa2cxoWtxvktWRrFjRFKmukS6OtiOO20CgF+/pgqZzgyUFqD2W
vc1NaRoXBXKdGqn3eJlEoOnjMZLzobGu3Cg60bYZzd5a+5x7VjeFdlfZ2aYbsosBFzv359EodYSO
qCKcnnZUUmOfvvz3TvB5JzD/dq16l3a5zID/+Uogv+7blYD8sWlTRm8xP35uQn83kBgEbjx8otLk
iR8Eb8evVwJJT4YiDHL5d7Dyr1OlKe8RjJmsaZGGaSD+R8owk8oflWGT1kiuFzIlZPNP4V7y/ZVA
i8jW560tznOrOttqpM/NrE0EUXPaJw4oj3FZUDQok7jmh1AvQMsh1tgg/w5YSsUz7qruCgz07HeG
0dxlg23uLZBppymP6nf2tSXIOrA6SeHgwYupD9nUnjIZfqkp87mjMuWa4cR8Yf/Zb7UIgX1DvUoR
AE6uKIqtvXeMnrfQIFl2appyhCgygeiyywdot9ZLMTrt3aRbsOy6BMFtqARK9cAYpFmLQFVRex9m
jv4hrKF4JjZU7WOr8wLqzbu3kdsS7AHoNk4L88bJpvZiSMb6hoVLyMqp38ZpXAfjpJnjdaLQbfZV
AGIwLzTCJsu87UU+7LS1H5QPLIBZckpMaaeE71W1146EPTgYtpK7BBCJT3cHLLW1N1ZnOrlUSdgk
H0wCjltRTC7sxmKs6bNEjyzSC1upGDfTgf1nNuLqC3Xu+14TzS/2VBhvyMhYQpQZn1hMP8txweZ5
RyHR+ga/0UId01P1Ip4YMhCpPAxpY/yFJynd0NG2vkVdsn4wrDy3SrOt4vSoyCxvqbEJn6y23sMZ
i6n60gYWxotLoFjrl8tczHVg9R4FoHMp4GOmU5xuu7KnD68ZeffWefNEwX1xKDztwcibZF8r5FIS
CEO+xZJvb2edfecmNW13Su891Gpjn2avUYNSF7KcubfEfdSp5UeHLPZFcSblaBS9Q9apvM5cTQna
fuSWpSjdHIIVZnyfo7T+2cEmfKD5srq1Nbc7WOpqv8ar5gSr52QP3PqoCszMjLkVoD9VO4K9g7Nc
djkpiXWYlQseXhpHnWrCudlGz+5aTg8VPc0hlSDpnZLO9TkZiW2yUcO8WJkmbuiuMzVEBi+hgG62
uiBuF7A2cWXZe33UPzwb12xhHJ15Mm4WmwsIMqOtfdSiXrdNys7ZAynn99g3/X/fxb/MZ8hhfz2f
BR/Ff06i7T/+/DKWMIhvL2MadnllqjwJv2BmvtvSmfSMQXsgz/erL++HlzFvafhqgKLle/KbxGdq
P+HOZ4et27Zhfbpj/oGbj1PiB7+/iYfPopuJB84zeLv/YTrroyHrirXSzxVdNGqeXjpxvjHGJfzu
N3P+JWb5HxwdZ5FWffe//5fuynf67/FLfhLOD7lYZBiFUg7J+Md3PvzinGqmfDpbFjTFHlymGVrY
Z8sUGUTocY4lwqFwphfX3jJcNnn94OjgkgkvsYyGAozwoeUXY2tRjMlnd2Ms5Ocpy5CewvZ56siw
lW4CXEVCyZKuuKv5hhu9Ls7EkOk/dCq4i43eBC7USz57peyrci8aTDkebWqbCsAk8WqbHq682lIU
vCXK0wcDrr6g4w1UO+aT4jpXnjl4WO6NZ168YsMAdscF8FYp55OiWKc+JaypTinGB5fwgDeSIC/j
sOT9RMF2wet3JAwlwwDD2N+A1cR0Ozx5bvuBaPUal8tLK8egfHDohl/Ss0UgygYZucXdube9CItB
0vIXatsHYcf71CWKUSTJBUrwl2pK8u1YqjU2H468Qr49Fbpc/YKL6Fbr11etLKm+NLNr06VidSkA
5uI8aOz8dXC0h7aLrzCeDL7QAIU0w87ydFTPWPF7Rgz+oUbK6gascaJbd8pSk8PsiSI53qvXM4FQ
pTI0CRUHg5n7PBCBK5kUGO93zB4/u0TgfNW2rpRxIBNVUf7WAFbTnOWkTwBXFwhoU6Kl21wrzvBN
s61hcOiW5lUcU6baa+bOk0HYRJ4wim2NQd14rxWAUDYZt3SCLoGxdo+pzSYthnXpG31x103DQbPy
MWgN9ataLLEfT8tjkaYWJOr1WscZRIlYRrx2bd+1Qn/XpwKGOWFLCpEP7Mq1TT5NO1rybkrA5cRo
7UvHWAFhFNXXNauJWHV0ftri3h6Rrc3GyffTYOwcEBo6nSJuRStfyCPGes6caFaek+atykSM48JV
yKhZNqZzTZ1zsCCLTvXM3pyaKlCdaau5KI/U0M7HorDYDS2axAUcWtN4J11zSC1tO66MgQTN6vEx
tww8pzHFypSGgmMIhllLgzzTDwZzjEbFXS+HXLd5i+z0VsuVDy57ud/Q7S54Gu8Xfbyf465nFzgF
JCa0g1JadMpN46VLtjVQqGWz0pzIRjemkt80vdiZ02Hdr6/iVI02XT3v2Z/6idld1hmW1b7bT1P/
DMWdEYVY6Zip0IDFVW7zkTWq/MxSnKCvcljJ1QJISxKoEAtlh2P6bk8k7rKJdME8aLdwp3ez6D/y
NUYxRlqu7PoZFzwL+0PCLiHvlf1iO29zpr6u1oJsXACdXYrXAnPP1NEQNxxrQcqZKEZWtRsdZxIF
gCa3NGjzk2HuR93YtlpCG99ajzvDyfqtqtFRGI/ma2ViXZvFFERK22KJrSH8VdeLmF5aQat3upiP
tGe4V7UC5/weOv8mdqHT7IVOSvl/eo3+6KmQb1GOC8CbvIe4qWty8/P9zbnrOsOMFns5T+QbfXMX
Hec7cUWjrK+8VU+sCA4syP3ooibeEmQ74/D3r/Ef10G/fnvP4dyhMNKCe/Tjt2+jwRoVe1jPo/NW
RwePi643vyqi/OVG8Zc1BP/t++gk0BxCb4wj6h86LbyeMwthez1rXOLnjuDDhxcfuMz+D9/nx9Pv
l5+H3ydnICgmhyX+jz9Pg8JiDVqinm3rorXxQzNzm09//zsz/9vf7Psf5g/fZEhUtdNxSp/HbfeI
uB+Oe/WdbDE2i6uSZ8y/BYPpl1t9/3DCEOafxqt0+9iFUXiTHSd/Dxn0kpSQHwdiy3/Cx7//9+ny
l/njyazrki7nEGsCTf9p9/9ux1dQmUA9sqqdSd+doCqF6pX2FB9pGUCLCBb/+KLt5s2p2U57y9qU
F5Aib+hI3OJu33z+U/5fc37//2NrWNyG/voieT8Ub+3Hn2+R8qt+u0VS0ea5GmEFPnf8kb7Pjcq4
COgMl0Wx3Ph+N9IbchtM1YiKlVo1XVe23/62KLZ+ki1IuKRtBzaYTJv+g1skouoPDxH3VLYJ7Ar4
NxAvIacuP2nfPURx1LCTLMVwguqEnpwOr0wnCXkqhinMpbDOiydLQyglyE37jjsFljZ1m7Yaz2Un
Do6Hx7pjDgWN0aD4p4QgsqvFYa0k9PQOJ+k7hz8UIyEbKJQJXsykX4mVHEmk0slQdvV1NatPE4OY
3pnPXhMv4No9cxsVKp5f7lkFjZYYd5MEmwXbAqgxflpnj5ZbvdaLeBihs/vA0utNZNuPbdMfKnAc
vac8RRV9iLaDFJFejXly2Yv0tRNuSVeYc6a8AK5VzLKQH4wzJ7V3ui6OgyZewBgu1KAZOFN6DqWm
mPauNz0set0CC5m2prn2gZ7hrMRDSihQcd+bZLQCt7Avu764n6qVBWBshVbu3orUe4cTek5Bhvl6
w01GlepsRBLNrcdnNa++woB9iRr9GvTGV+Qhb4PGEocDeYh955RnZI09SGDfzOLXQu/HsC5cUB5A
zgibia+T5l3lCr72Em68X38ug83S26YN6U80oUtcxcfGjC6rGKEkJRLJEbhV2wlasbePdet2Wcef
IUx9OGV7b6TxLjLWZ+gIpbzNnFz+SJ4K8GOaCMrrKjsWfW7sG3vsrhJv/rnIPMEJq+4EsiPoD07W
UtWfzNi6NfslCkjU3Jux/jPY+fGwpPLLrWHY0kP3XNLw2okEpDMsh6EfKOEc+mxn28WLMDN20/Vw
0hNLBboLArfRestXTcW313yrOqjgjEa7pufwj7lI+UPNX41OXS5w5FYHU7aHru6WVUa3izpQIREF
xGuZxwT2ogXq7XrrkBmcKms7NGZDSTmlVQC9YEz0M4rG2iGkDzxxFuIC+1we4qXjb1jqNXT9dr3j
Msh3rdxtHI1bCmvuVtc4plNOnlMvCDWzTAlizI3+OORfezE/w5HvgRXXX1RN0MEpIpZI0oOgpnu7
IfQjlGSvAiQLFIf7mqqKHXncHa0ZA8Aaxdv3pBXxEbsfLLou3VmMPnf0OoRvh0lsAYo5jFUYlzPA
CesY6UBKeBoJGxn9l27wahYVGvmgtV7PJWvyC7OCdkFWigO60L0ENkk+Pelu3o5hqxB7fuTXEPWE
JJwYqRh4ydaOSrW6p060F4HZ1ytWqJaGiQ1Fis5ZiZLUPi9NmpyNZo5f6MENu4JHyDcTMzrV3EOz
3h6ow5h9lZ51IAfxXdKoyib2rPkGtyWwtSY1QvZwhoWNuqDO3rW75jA4agRsN5170KiqQZ8IOaQN
6acbIey52eGg15/zSVWBd1U1kYusSLRgtp2vajzAIcztpcVnQS+MJ4lZpsVmJdWd+F7tKch40aMx
joLEWPUkaNTSjl5zKwUbouptiQOUvWb973H5S7RI3vf++rgMi/8EosUe/ecTU37htxPTo5+UpbNj
4KIyYOh+p7toP2nceJC/dRt3svRA/7YX935CcjERanRAnOgy352YLnklaYUieqSyUv1ne3Fk+D+c
mBAdXAR3Qk74TSEJ/+Fa2MQRjafaiD3aFI+T9EeOGCUVlCIYAF17pv8KFyWz5bNlgjD3LGCQvQMj
0i0pZe+UsYLItgw+dX8tk6H5xALM4aXkLkQbdG27gvzclrKpBg2h3fTmIEife6DXpe8zwwBKww+Z
mdlNjnbtPHiYRBnCKlIhGH/Reo/cn2Owec6hT+enSLLjxqy+a0WCMVdJvb2mxl/Rp+9nQ72g3Psk
1ATVXnpW1TbTtosF6Qp5+bIgIrFIh6vA6sru9CXq9WNv1x0NQrAIx7jYxg3tTMOEP9KerS92m8MO
li7adraWrSfmD1vYH1xosoDOb+D3mG+92XiudIEXaCiEb2DQpSvsJpGOXf6ZX72qvIYo4EMDdTZK
YgvYi9mClVvVdrlGNtEiiEjT0TYWxU0ZseejT/bDLrRwlqFFUdQ7WJbvTjvdckbGe1UmHMvRArIw
rWuQpYodDsqM5M5eIY31x5SI5CizkqaucZZQpepXMklJjmJXjNPBsPtX+nEoCDFIXQ7EL1eZw3TV
5RHi0uSe5w4ycd3PKwXVTJDeZQLmcZW8x4i9dNhlA4VSMzlGcy3mXZniTmjSzCPhATXSyPUHyppx
00qrmu4mlNXmxsuqomWXvucN94NdxCeARPVx/eRSJkq+xzIXTpl6q7GVZSZ32TKznvdzNX2Ua3ta
ekBdGgqrQvoPcFHbpJwsQaYfmNI5zqL/y955LDeSpVn6XWbvZa7FomcBd2gQALXYuJEM0rWW159+
PmdmZDGYGZFTbb1ps9yUZRmDBAlx7y/O+Y6/MJGDqaZ8Y0lou4YYDXrHHBGupt7lPMUi8/x4vC+N
6JulZQdfilkUzFDOoSZhwJK6Z30Gdsa69iip6RPTKIy6MD2Fo6O4gvKpyiz951XBCP9TUgGBzrex
yBNvBBKaAws1fYtEPeihJPldZxAz5JkritoPlNLMGi0TsCI9+FEFDKmhEiUOljQN24MAU4oW5Kml
u2Sm5iDNlfYVQFMZsOkI4FQMQBIrX70LMtinYe3fkOS2RyeFQFwN9JVWMuZJQKbmqv7oW8OtObNU
Uy5rBFVMoEjueml052qo42MwMyT82UFg9Sd2O1dgwEAl+tFlDbQVRrlL/b4L0O535rAvgbsGor2b
p3sM+I+9bpxCILAa/v9SRmydNOLB6Gx7HQczWi4ic5tjDutRRdiwI8hQ90kjA4ZWP9RAaDWnv0g0
dRvCp+1mUG1P3I9bacO2RE3m8oaVF/ACrpoIUv8MvLWAly0m017P8TZLAr/tJeVlsySVDhGcM22m
GZ5LskRMZlTpjg3q7hmyO5+4nFJKgVixPxcdAzu1auVVB503kNG1KyDcZJ4CzqRLTZgXcee8GiZi
xNIyb1GgXmh6FbvaDP/tkcJ5xXzE1eGEBVq+ViEFpzMyWC2BBzdVsaPDSTcZagdlBgwHM2rY5P3W
TcE1itUXa4YRB6p9AdrcXweBJK0Yd1+xsawX1QwxFqr1orJXXGJ0xEANuFWAIV5kkarj4harhMh0
HH/+dVxNMbQ55SafkcmdYkWvZSgRKgJOGSQ3Lu3ofgj7U+2Em8yw3ycmRssWQc8iRDGbZAg63agx
JGfBmDm7zwLJCi4mlS6lNfsZymrsWVjdOLNcu56F2wQ+PhUTlIZS7zWQoNMDJFJCFdF7m61UuVNX
n/UoPYYowjWU4SMKcWWWimt5vUsndZkEOuuk1rhEGX7ROSS6mbPQPEZxbqM8l6UapuosRie4gdp4
6m40dOqRL+8IDruLZwF7AlSA32Z6YAN30VTiLjPAkAzxmfcDTwIq+Aw1/GQgIUAGSHydjB91lsyP
Tnudo6FXTFSKaOp1ebzNVcIm0NqbaO5LB06ozX+Msxwfcx5TzFmi75g0YdEs289lpP2csd4QlZsc
ZX89S/wttP5BbOJ3n+X/9JNoRj4sAWW8nWaTgJQQFvZhG5gNBPlsJcCaF3nObC8oZqNBIlPQwlxX
FsHIVH22I/wzxPjYhmlM6X5elc1R9Kv6OX+Nmte/qMzmb/5emanqvyjHLLIVDAJRkSN8qsy0fzH1
Q21O5hDRQp8rMwYg6scG6d/f9X2WgR4eZJYBs+q/QQpls/ZpHGbw023KMXrFWSIhz2XeD5MMI5Vl
O/br6TS195VNkjLKnU9PzF8sw+af8MPAjZ+KfWfOdICiIevzb/BpVjKVPvdoqSmnZsR8JhMdQ4tl
fOv7za8f58e/hOrsy+N8mckUklJiTDWUk1H2rlIjPPz26wf4UsP++RHm0eKnvyRQENfNoCs2KWTK
6beW815IwnWkk9MRFafKbtM/lljio3PLeESJ3mJyJoKzWlxitwqGctFWe5Oaygb+GBDuF18PWeiN
JKP8+jdVGJ398jn/Um1rEWkQQz0/F9rSp8KqyvuOC7JQ9NMAYNtHjh8J9vq47PhP24x+69V+OtH+
GCV/fdHB8RsmWDU4uB9uyU9PFTQkpe1lS5yo5SL4ALS8hwQKTAtaSyckgh1k3m1JntjVDLyNbrhS
wDUDWi+IhJXJmYDpxOiq5ErFFybvBqft6nWaPaiZtuMEx/mjSrFyO+JpW2uJE9sLzIgLAhyXtYka
D/Wf2pOK2ApWM2IdTqfejJYZ6UBFJVF0QAoEHZqRhTTFMGaxMaHXa26awL5gkwb00fT6nF+A8hq9
h2tN6ULEpZcYNyBEK8/UsERWjNRYU3VKB5aQxLtyI6qHJibjVWKKMuR7pdUvcQXEY7buqd1vMwN2
KdEeoJJuWt30MDgs4h6qixEFuge9CWyWnenLIkkfW4mhczbVGPj9xuN2+01R9tNXSPs6wvzywZ8F
VZ/fzEPkYCMbm+kkr7WNv50O7b22trf1qVkoh3ZTufUScqcrVpq7q3eUQd74KG3BOK3ltcnIPv4t
9e6nv9Cf5vJfPr6ziurTO0ZPyTnO5rdskWwLyubBw5kIJVL+m+Nofut/fWd+Po6+HHionNnAhTyO
hB7oZvxWBS6jIsBupv83HwLlx6f4t/Pi84fgiwjA4feqNSdST6HmknHFwhhuOLCrZgnNLTgNf/en
/dUJCF6aYHS8UrARv7ykmZmN6Fc19TQwT8ynF5ycvz5Xfmzif/+DPj3Al+dOziMSawOVoWvvdYig
GPE1Y/I3L9DfPciXU9YZHXNCZ6yenB6nKJ3zjWo+/frv+Ksr6fMT9eV4FNzVNVgk9aTy2R4R2crm
lRMfHRr6jwf6n17x/DTKcX6g16IUdRSEbfN/P5Ieg7fCe26ff/g/S6B5rbjs3mpx9dYwSvy+3Zj/
5f/vF3+nf96I8u2//s/ztyzKiaxu6+i15Xp5+3iET2RQ3uw/L482XfZSpN/av/6+Pyoj7V8UHLKG
MMKclzw8zB9eDp0IRyDq6B01/UOC+X1mhSBoNvobwPPYlMIJ5f3zb+GmLM/E8/mnUiD9Z3TQH9+H
DKps9eNzpABpBDjwdfncdmKgFTeGcyfvgtiNxVXRrD89KeffTp3POqHfBEc/nEbM5SwMSFjt1Rkw
9uXUU2hLyG5ryrM2cCWyrjAaFvGhpubaOZRxXc+ykTG5nIrItI9zAv1DHVhqcompSrjwmkd1p5ol
H8NiW4UEnPrwkrVoOUWKoJbTsGKlZ5/A97SQtqJxNlJVXLcymgQRkktRWVdj1GxIgcKvlpGfHLWK
Z+jVDoHiSbKTl1Qkz5LvE8tebuM0fuA6V9wpCk9B2yxtNd1aIZJLZazf684isDYavLTSrXVUEVUs
IQlYEKC7qXoiOTq0gti4K61x+fMeAlPeElyLLF8pse7lb2kDYNQfdWY62ZtfIgi3sxIsgTza2Mvr
FaFcB7+1Bg/yIb3coGJ2t+SXscl3GsR5T9Hzm14JmOGrt/UICEeN2vskg94ciuGVGIyd0Ot8VcXl
RR6Og+dUFjjiyDdcv6iv6yhnhKFj3A+EdkGICjPERrtMBydwp757kGJtNWExW4KxyRa22r7jR05d
O8KqZ1UFgjJ9bw21TgNbRYs0qYhskbnaydoN3DHu8mVUqgwEemAnejndK8BjNV7ORdFJV8bAZZSp
LMEyB4m9nTxKVa1TfZRbR2njY9oOissEa8eqEPqCAvWRJM5D0L5qcbFyOpNgHgIv9bFqXCfN7/2p
112/skkSC5RdbXe11/ZEx1jGaxkxtxgEKlxLf7WJEPbsOHpnFYGQQ7cnr2odAErmux4NrlxFb1EF
71Zp4k2oQi5QRtstMI72avOixDGx8uSKLlCQbdOIQHW9b1cEXzDb1BCG6E07LHVJduCxd2d68ts+
6BpXStttqIX1UtHDa4yDhHtYQeeS27JMdfI0+8CCaM/r59jxtQo+lmkGUdlOf58gPKXkMt/j2Hky
lOTDbautNLybxJ+FyUWeISIN4qh0OVduA1FdE/hSAjDQTgGpK15YkHyujOMToT68e4YKr8fA82FZ
oNVN/8bsZfwRcf6mK4O56mv5NgnS2ybChTBKc0JbAOzekt5byX6UbEE7noSupSkNlv+PPYk1mYWK
JUck2/JDEDPodeUT59G7Dsq66sYISFH1zYR3OWGkt4lMDLUxjfHZ1IabqlI30lS+Zcymo6QkIKQo
v2FIhuppRew2Wxu92EBqKK7We11vvdT0U7cx7yCtjvgmRXzIZoSgJF3VXexkTCjTiv1gRvpoj4OI
cNbCqylL3CY1DArY1A3gBo/EPeqNkZE7CtDOgi3IZ3P2qxybwnogmeYtksdqwbFGPhOk/ywt3T4U
e+IEn6Wx2w9thBmoewwIhpjPnKs6V5ZYaK4KRdsOinQlhAXcMLhTEyIrASkXirx3hmDGTJzJuL+Y
mnY1deRVOeJb1yN8Dq3YS5o2WRID7iZYW6ymxq1pG6u67I8WQVd1xSJXYzIdRgZLc4fheWxLC1+S
TqKt77LISQhSat4a2AtqNd5LzZvR8U7sTWul6bHFRj0fWPM5/gCYN+4E23IZS++dFaCArqpadeMA
J5Nhl215TPC0ZYWOS2YCYNDnAUm7MefWIin0kuWmMWlrSEs1YQIMrG0tu0uqZlW3w8MwpHdNJT0y
g9Yu5c6Yzlx41apOq+dKVbZhrX0bfftUTRAYWKx7eWazwUgmxWMTbRMXkEarbMqcGz2zxUWQhddR
ELzE7PTdIenSfT0Ja1kiEefvkQW5Z4SZqryKQ3gTRUXsOZq06/rmgQ39dG1LxCH4s7YNJTm86Yi7
h1R5zgA4kabXdOV0kjAX3pixJjwhnGEZ1IAf5jxYXNNNx/7SyjZ8mm2vSltPN2nie6Ud1uxNC1cj
CYPNsBy6fUoYLDjfiA97ZGwG9Oozhv2M1e6q0UO3MpV13GOBgEAGdUSDXWMqN4znH2plvA6M2tyi
O30onAGjWzD5x19fu39qNVQZuR8WHhONiGXIX2RlZtqVKHqr7lxAwzUVpO83Jr+1gXQi/js91I9V
BGWKyljHVDTsKWRksvr6sa1pmgJwI0D6s+2zRb2rxCqU7n795/zdQ8xf/9Q5IdRP06FLh3PJBxPf
wiLsn/Ty+r/xIIheZIvaSlE/ZiOfHqQJk4TEkGE4a/VNVRwIiZD6v5Hb/fll4an69BBfuouWyNlA
0cfhrNvXWbWashZSwSm3nmPxN4/0px5wflE+PdKXFoOYCSMz8eqdgYktlNxE4rvr4Lj3yz5D7fA7
FPOnre2f2g0eDlW7gWMZ9jFkux9fIAgM41S3ynBOqweFgDDLvAnCvcgePl6i/+lm43+fnkzmCft5
r7Gq35q/Smuav+t7p6FAyzTpCBhDEnMrzxzNPzoN3F4AP1iAf+8ZvncamkUOAVoz1O2z8eBjPPt9
BmsQiotd3DIslU848Zf/iZ7Msuh0Pg0lmMI6sAod2hpLoW1HPfLjOyTJUsUZyWA6+mOzC9qqzy/a
QRXA6rO+LAFaRB1RbEPTuFmYBeNd4cx5roUDPJ0NXUikR3OdhZXwwiZP3KHt1hVZAiiI0VTLucqN
m5JR58Qv1EUROxMjWgqJqiWfjKPiEBViptJjAXwkz5L7oSuU5LK1yvA6SaKNg/QkJzzATVmqBHIk
HRMf5DiWpGqJ1iN4FGUbnv0PIUuYCusMkBx5iz7MaUHmh+zF+JDAmJakrXxWRgOOnlkkU30IZjp2
ooR0IqNJPgQ1TVKg3IpjYtjk+mKI9d3QGVdA74XnW/mdPKU3HzolNFCv6mxaN8PuJWsJ6KvbmNWS
9hLmMVR2ST+anXpvjuNdR5XgauzmpV7ypIxtTDB7tfWyVDxbDDhIc0uf69F7rME2CvfkSQ2M68TG
sBSXhiek6BvT+pus099knWSUJuNJMez2kuwX1pB4pTcDP5+krDJ5ElrAynKINvKEuryaTQJZat9U
qaKuCuRD+G0pmsdY3YTgkvO+r71siOgGuAeNjJYgry0AJ4jclmpcpexwBPmh6qU/B8fBvsLJrqsb
MDEKdnCiZxwxqlsoJtgbOvmbXDie3TWZK/mGjw+6WWe58xyExd50rH2jOeQX2hJF++SQkp5SmIbN
avSlb0TtrVJ53MJkPgY1OX+9X3tlPQH6z8kLbvzyvS2QEZqotUC4ZK8DSjavF/kDb2lCwpze2piz
CoO316WuULS2dnFsjViiavTPqYMBhOycRRAqV34pobZlubmQx9pwY6NvXN5vXkgJ0FHdkA7f7lpe
wbbpVkyCo/VogD8w5apYTrm+zXoYOZVxrzTtEUrPTYxP0MX0dZcF4VWoh5FXyvgGA1Pasj/TFn1Y
XwnLv8FjeTlVlJqDEpUeucgoMKNIeErtn8kC24jUl7baKL3WlRR6sg67RhjsCyfFSUE3kD+NtXFt
09HTboppV5TWKRYFqQs2bVLZ5Zqb9elMwR0OoAS+keG8ixBlMcuMLoBJMjGWrT2OV2UtOykz5aCC
navTOSnxM9GBw0o47cmp9YeeVFqXjzphWCLjguq0d0Cj0yIpi6tugrLZWZtpnpFbc6qNPufbtEl/
q86JN5LOu9Oft+sNcTipUCf2lNaDMRCUg/ti28/ZOWmtblHsaJ5m24ewZxVg6thb5DlzZ6jiU0QI
j0kYT0YoD4ZQCbuKBY6QwJ4oc2DOkOBjzlk+A0mZHr4NsagI+iGhs0cyJ7/7RAChOnuViQSqBo2V
a4AS0ZfUN53YoGbOD8qy7C4bSBRSiRYSc8ZQRNhQQeiQIRXC6JE4hI2+s/TRvNRiu7QYV1HjirB6
0QZaW9WAYT3T/jqjujClsV1OCUKXfnqpNfWxsh1t48hz6gfC1QmVHyl3IUyB2kQqoSNHcELxCjCs
2cpWex3mLd18KafkmBaMTqwk5qzVnkqiANqsJSE7tHG8dj5z6Q7zS1yWOfw4+diDOVjiR3nrJ+Jy
sSdexLHae71fWJskyWk5JJ1etqscJJ6IZwZ9IEaST7LSADCX/cE4RiOMm76pRsxayOk0tboacnbJ
wgZuoUyERERAYzW6vzagMI8g/IDQCUt60WErMv8py8fRyyQdE6tF/O1IIotb1vGraeUIYsgTWxq5
vwp0TWzMvK62RamvEkgYXmiZ6crGj7ngPCSlLK6earqsnEYwGPx1gXriMpQiE6hT5IBlY2SN+clZ
AaAqZr2Jf2nmarmyKpCxgXaIaVNXbRbbayRLYBxhTpOFJ8Qu7LpvCfTCVcg8ZKeWxC8bgAuWyRjk
mzDPp9uJlD1PH4S0MgCVLCR0FotAxaNvtP1Wy/w578+e3NTo90Hq7Hxn2ksRaltbQWriJ9Nlnfle
EFo0OZZ5mBpEN2EHFgQpxrnswptcxTJFX5WuSo2VeBdKtRtr7atZZf0iM3V7PdpY74QStC7UPrKj
0vDcRjgF/Un2EqKj12U57bXWP8B99IgvPfc15GEtxl4LqZfBhFUfoS2/2pBcyOFCG4bMG1qJZADN
NIDs2WLpmwFzFhrvhSwPd0qXPBeJdE7r6DoB8ujK+EOW8Sw4rfXyLZ2s9yCT9VWr6Y1XRzo/MlJz
b0jlxzJCCNN30dF3OigjRBd6Q1X7buEn+9zO5E08xsFdRbQjYIJHE10L6Cs4yWn2jh/80dBQ6Ibt
sfzwcRGG4huqs1QcTFVOlt5RieNSjHBpqZJ0Ocml7NHIXSglIbVFkezTmkpE5041CER1FUUhWqbZ
WJ1/sH2Rrcl22aU+BO8qkRaxkd8jsj6Oc16kKbIMqKRO0GG9qxplb6TZN6m034cRJY/Jti2vpI3f
xG/YFldNV7TrxkIRW/LVoZDu5Fg+TME+i5GNdBbQjeTZ6eKXsOHw7SWZ8Bpr20XgQ4zWJrDSrHdT
Q76clfDyZIimYlR448T7OaJjXWEUedPIYkBcbV1HccA/5gDvwUFHdaosdDD54GwgQVO5PVGBbaOx
WFVUOgutNXeTUWRuB2DcrFg+OsO9ovHDy7FAMxvvEwSEay1rX7Gt3wek/bklAAwZZfpcxCgaF56T
B2sjJPRP2NoRT9xtPeAhKBsw/hJYrzJyDgIRlacBp+kkZOokEjJ81cm1LEYkQmpM80rsM0IPmBmE
Lawin49OPmFNhB10nfUVf5qd98uQunNhp9FSygmyzfWazLpwN4j4PVSMaBUM9kkQJFVM64YQOdVe
1yJn1newpeQmTHvMqrqeuRh413HcQ1clwa/QphfNHlbmELywPz7oaldTcsghL1b1DACUkZ06xAYX
cV/v+fjcBIIhDVKaO6W0YKYw3m1YMQLFTjdqkW77NvF8Wysv8w/GHrsmE2oJu2XpPuyLQgY6ljf1
DrfikCFBHHq7x9bfSwL3t/GUy0YkebqP7y3A/R95tpPsikHmt0gYKCH/WU9OgLaqILLSYpObJwQP
RjqS7CzpPDLtHnybaODc7iukWIGyBIZ/q9X59aCb4wof2nsV1/ckEBoLco/4S0EXYA/Zhpb+XObj
eYwcg7kVc+4wajOXuqtxk0SvFsbQE2+HRo3rhAEasLN+0XCl8frNrx21eecI4PnhoaoJwkhL3Rtb
69i3EaoC66DYJonMTfysOMJrHP2gTILqpihfuFsEVM3UTXKbGWWk79pOfpv8PicjXAaD1Nsbve/O
gKJCirxpPdJKLKhrBlad+bd6yDaaGUqMPQAJVo150Kv0Sk161kkMg42sGDacuwdnwOApGALlRtMQ
+8gnOlZ5QEC2bqKnGPUVDKcNk9mpjNelSrXrKMlTUpF+FZ6SkmA0g+y/UdsCZUf7bvdH8PIVatH2
lBnxN5ZfmL0UyFgiOhaBfDSIzQD+fdRVgqSzhTRVXl1Lwa6Xi/tkCLZtGD22VntbOvgBYvD0dr1G
tn6Nn9Ol7j2KSn2KyLl3GomTMQu2jMimbdylT/yCt+GssoKT4S9D8rf3nApPelb099nUQxas4v0Y
JkC4+rhwRTYxEhCQiUzloexlHJfJJVEEz0lpQ9tqWt4JzmNqFIdIC++zATnqPw39h7bKYELy84b+
sXt5/vPicP6e7+28Cu8bizdWFQxdLHLp9P9o5xVooewU8fdRuJoWnfa/xe6mRvKGRRwy/+RDiPW9
nSdNaE7YcPjS3Myjg/++QP19i8fu9afjHvaQX9t5izEDLjPMaFhXlRlV/nkil7Z1K4/FKJ/amHPF
yY21mWjSXpW6ebujlJcGuu1Nh12ac99vVkWBRqal1p2nrYhgmLaDogdTXU/dAjw+J8Zgrnvk46k9
lhf1JHHdySTI2694nak/Mj6rZud7EyHiDmHikcWVXeJK6mZhCwcFw/1Bvx2IINejML+pAjYuQVm+
mqwFiq685egpXT3D8m4G1WsquAaKOd28IuacOw0wGyuZ/BLlwVqJdf0saebeNwdn2Q64obNB8j1J
gV+QptVZ+O2z1QWvfsb9QMCGzEqtrLZ2zkaiKqQr4G3p2WlruFtm6CxSDZ+UL1jP+JGpuwHUcJKG
xRluC05RR/vWRCaZYdXRbuEIlGHyEKnaTVs42P1j9Q3uwYjGKbit8fFERAB0phQuSAbZ+JXzDSsd
EU0hUa/OeJnLMEqAmGZ5sI8n50aJuYmMCelnrco3pRWjQ+VFaClS3dTnylZb41l0Df4Dq3mALpMs
mjJSAJgj1NTls53qihciao6c+YzPBnvYCQFcQeTlu0xSn2zmR8I19r0ogq0WN1ediVB6NLiWwMbS
8ppkETF6WVhl6lkT2IVKkjrORke1UP60aZMA8auzZZQ39slRS7FOc5tgODPeAiV1LoIGkkLVU5VP
VnApdQmtamSQv4oDvhLqe1oYgmLSLHCAx6pzTMMaZl/OiesnwMJaI0tWOfafXQACPIT26cqpfRqk
gokQZhOyHYr3LNE1DnlcfrV65OLJ2e6hS2ojnZq8gx6qGNI6Bqrl9kr3ZJbhXUJSkluTClipYe7h
EOJ5C3hyU1gA3PrTnRWJBaaEF/KhsJdr+k7PpUvFLt/1UCy7cFx3FYvGHCa7K7e1tjXTalua2W5s
jaUeaBQryQkvHCiL1IHxU8T38uDfGhnoxDZxClal1i28ToNfWz34pUoAiQ3Hu6pm5pcsX2Wi3UGt
WFdJfBWxWWNK9TjI9YvhsMZQEqXxRNMf7ZrKoDYHphFyfmGQrwWLTNoRvauvTRllOBc3cMTAOsiV
8krToHlNK+5LTQXppJSrsmEAVrTcX2Lstwl9hNvnMuTB4SXkuWZPD7ojN9G3F2r5oOXlhYPm3LRR
LcNTYsfsv7bysLJqlvNSOlQuQIbCTeJuP4qkcgULRDcXxrd2MC6GCtp3ZseHymd1FZVZ4iaquo7D
5smOqz0JO7dKMt0pUnPJ70eSiw4YdXAuQBJCTVQ7L5h6VuIE7dkV7rpukq8aR3sSrVOeQCgBFh6l
cSclQtoSK1V7Obwp4gKvdcBMYZlc2WZuUOGypVroGi21b/FTpjo0NhmTtdqv8OdrUrrNMlKPZToB
G1YW7sRmWkiFlRDwyZtY2Iyj1ICRSkHGDcuf1CM/kjzMYLyMVVkma1J+tScl/k2o9c/gfN5s/fye
Xadvef7ni3b+pk8XLRpOnUQLRweJNm8u/rhoVRL45qsSnQ6ahxnZ8++LlsGRDj/td1sZX/p+0TrQ
fFR+Fv8Dg2BmoX25WH910XKjfr1ouc6xp/EzbVsn3maeq3/aSuWkdapjZzsnlfxRCk1lKte1VgT5
pSblobo0QiDbT9g06kuNjtTcZT3r3ql3DmbsHOoc5jAflRdyL3eCprxX22AldKLBF6WWEhtVaxPG
aK1adr1zyTj4PfWziD058Qidyq4c+nQTMRPEThmUazunjyuljRSlL0Y9Es0TF4cgHi4TdSbktDUQ
K3NDDbKRGSsvNIjQkVNIWADEGhv8UWXSEKlsIYfQSFedLDZC6fG8SspLnCmLkfSCbW1bD6VugR0f
Xuk7LmyUtcaSy8p8dIBYtmgLFixSEYrZXoLhi0CdVtB1FNVpwg8CNIRrrVc2VVvs+4TP29CieaA6
qVkjW/mWG56/NpdkrymmeybzF3zgZiVBo6KK5UZWsQiHOkeL1gWrOkHdQuKStYwH5RkXLMm+8GdQ
AHE3FN1jNvpPXRwzXStOo2A3LmW+scoa8g1zOd8OEXEKTtQwbYG/4snDvBLO7GJdhr3GUjojCdlx
AKyIy8xItg102EWoxt9E1tvApHPS2QsfPxnMEi0Qz6izyY5QlPdWlXZK320HqGoxjgjacwYgPVxJ
thndcCiI1vMEDnn60PYwJelbJuXDA6/nvjWepsy80IlYhHLJxi7mFvevB8Sybj0kceOBKanCg6Tm
He1ilARofFLo7rAouXuq4xgY1jZtbJ3Oqg/XESlanMwBl7VqSeHOSop+zY1YbHleSgJrZXI9yBt0
rv3E58pMxRyqWxWM3fs5abesDT3FUk3+LulMqGKsvFYPFmpZkPSmjV4kkR/+aTs+2g4FAe7Pj8Nt
Vr7V0XP65xNx/r7vJ6KCMHGG0WC1+jj1OJG+n4iKiZsDhweH0QdKmu/6fiIidNQ0S0ZE+AGUNDli
v5+I6r9MdPKYMDhNHeaM/9Emkc3klxMRrIluqMQgoW6Y5YvzifnpRLTCqs5HqIAXo8Z2a6UkMhCv
0qLUeJenKTeQbBEYg0pIYxMxbQoT/zoRW2OMEsLUkytfZT5g4+Ta1Epv4Zw31VcS3Bq3cPxnkGTX
oPyzM7EFIdZEU11phhKgm5Obi8I038MS+H2SqRlb9SZaMfbVllYDFhgQPJaJTDEOEz36VsrTFtkg
83Hhjibbwhgw4JGAAFY1jL3Y2SR73FG5R76eWNUGqjhyGXCKgvtyoYuxhWJjetR7scN2frCL1t9n
UZqsEslhmsCBb1M/UV3DshKr0bGYqrfIeSq0YhR4H6GmKGsqu4M+pUuPKSqQ0hzznRV2N4oZyoim
mA0xgyox2gvpWMfm65AjGKoKS1kT6/c+xfETgyaceXqvZNvBt/xDqcfilvmqz0IkpDjX+JSH8Vsb
TOoj8jl2T0AAVj3lrGc1KZZCPtFkLjm5s8eiqCzNQZZ2RCzIBwPw3DqCPLYI6s481JZ1aQMovkZR
uR1CcSOVNIqFnutr2S4uLZPCFloadG4ZXwHBJsV2Spj56fLAvSES6aCExAtagorssS8Dlnyyluxb
XyjtOsgkwcEy1TgnTiGvXa+y970QCto/YPcKgAEsqzJgfZia7am0HSwUKqeZsS1bod5IapdGW1qO
aUcP5pwirIzUtJPNMI7sGc0/OczlmIslznuvOMlBZUWpBNl0rffofbx/Tq/fTi+Km1+cXrn4Cx/a
LKn+4+Qy/mUSb4KpjLzBHzUQyCNANkIAAARhKXOMyh8nl8VxR+lnmcxTyO2e3VvfT66ZqYNu+fc4
tv+4lvs6NJmZOjMjl+MTmYyhfRHlaGFaKkFvtccsMUNGImnkjUWGJvVSqP3E2DlyQn8yl3rYyyHO
xp5AC0NpVQWnI1MGuDIi0tJ9ZUeVOOEwNxjV2h24VTzWo1l1yPTSUFtDRkRtQXpwGjXstvy4Vz3J
d4r8aarNTj9bXefUuWfJZU+EkGEMtP8KYNPm2ZqAuE84WCG/M44e697BK8NqeR03pXMBlSPcBmMN
dGNg1lIRhZjY2ESrrkiMhZ7ESJSrod8DPBYrhAv50UqT7koxk+FFzg2jxMgfBi+9Xo+rFEjrgfys
Akls4R9jydBXmLpDFuwKEC170MSlYqkknnXFcJHkIGcUPKxezZK+GJBfMHxX62c7ooxJW2bzbsiG
ZxsacXujDhWz/DA3aKVSZ92H6YCSGK4k/tt1SiTMlT3JBDLNKoa0k0edHRsVmtG2rMZNWRxreAer
BJIm6cYKI+WmweiPjFt74WXCOeTLuEyVEpCk44TqkzazU8JpIlgmUTv1JdEJxuuqJtgKyqkHzWg0
mNsqm7YSAeRkZ92pg/3CU5pvK8dUrpUmklM3xmR4ATrIAS1ThEcxM2kCYURHY2bVOE5aL5np2Mep
QnGYVTnKRpHVbkhh+MoIPz1g/G3uOqBNwMzjHKREpBJVr6TICkJiQglURp49Q3oQFkuAgIzmrEVa
6TFVL/Ys5vp9AxOI/dYEWFCyV5UhxveB3nhjl1mwGwtGdgsjtqSLyDdlSJ8NwMz/x96ZLcdtpFv3
Vc4LwIExAVz+BaDm4kyK1A2ClEjM85h4+rMgHbllte0/fG9ftMOtIIssFTK/Ye+1K8mWv+85whvp
ENoTsfk3ISowBGpRgi26Gx7zVhFPyKM/QZTQz7ri1Nf8+OFWycBBdpXOArBt1Wu5xMARnSk9RAk7
nQpOAbLdWt7FK19q7KYmkMlAgP24hNsO7EX078n6HcACDexvTlasvv3r/3hAy17/uzRcv/THActU
GmEpmjCkXFhW1iLvR2m4eoChqRgO1dnaSPNHP0pDDljHFAbiNJOR8bfgqx8HrPgNjYKh00bjkfk2
5v4HzbKp/XrA4hjGagxpdiVU07bzQ/yhNNQiLc9bixRxGJfAoKmHtEnKYJ7LAjxVpFHEZNvckAdw
pXgVyP15KVx77Zm3jtvvyMC+sofmkFoKvWQYqCZZWDkxOOc8satr8nSfpGo+Oy6z5295hjA/g1Fm
D6INr1MVQztwCma7VWrfzpFBcnwLVFQNcoLiKh8BjQoxVL1a1vwfd00Cipn+eGBtUUypfUzUohss
actTGqHYIUpoCZETAWdjlL7mDBEAfDWvyUNSQi8Qbmf58ZpLNI7qIypl305lMOkkF/WwQD3xLc2I
WCOx5hvVzD7Bg65DvRG+ijpPuGTL9IubuE4g14ykoWCMSTDLAf1ReCBPQqCVmYOKVnnHDjk/WZYy
ncOEiXZI1BSJSelj0nBY43cg3yNKr3livTWcaTMtPNJieGiTRnhYRR6FHV3XzXqIGtPZnJNmazTh
QPBtOfilgqqXaXPjua2kk2+GS10T7ZmRd7glQGHtEI9WqT8V6YiJbXX3snbdLJO2t40mhZeafB01
4xKVy9WiA8TF+EGofdo+573ihUMFUyepz0MMDqVWdYyJDG+VZe49ohgZ3FapgYklJflTF4e0F7dZ
KFmAI2kmkjMKGkZ+WwbGJCJTz+pqd6UbuD4aBbRZcS6K5FrLh5PBxNgjDPUEx1zyot1Nk8A1cDLe
GmT3Q2C6FSI8VvYp0sXGuNgWcN+e4YjXsIrbk8riZ7Wya1MFH2XVXZYMfZnVJq0H+eROF/rFrXNs
AXKcWWOYtqdnJT0OVxo4YKxKaQYaJp/CoMPlO7tzvMXmcYnM8LNsRvaNirOjUhW+1atPZtN8To3G
9rWcKUHTC3Bs0S2w2bM2F/4SzVeg6b4yGK79Yux4DztxgMFF7qKwzv3QXScVkn8wW3a+vIPVz/Y2
wjE3q5+ytZTmkjwhtjEv5UDUcNq7L1Wm3vVW+9WpyUVtyk29RNuoFH7dEf3RK9tW1U9VHl8lVXWc
0+6qrPIbIrEzv+niYZeHw3QQofWxCIUokBTC6y4ZQhs+ejku97pYLlHTdjviWSZo+4QnTobgdZkt
5O1uspcukHa8nxbjprVeOoV+rhjcx9LVNnkandoViVb0Fm2HsYm4yodF34djQmiWNdxy2GHFAuyn
w89REvSmYRPeGF1/dizwopnTs15K7mzN9kIZ3S81AGDRDoyQZkZietvzoDB22rmRBpMWoODWyMQu
JxRg3xA1S5sRkwz+Dd088Mkpa7g7JRZAFjzFjTMrz7ZZflSt+pXc0cwjdeVpKaMz3iBYug2rdMvA
O6S2oY14on5zBoWFdhZfktnhmFDVm6JCTDCgX7qejJyoegxe6jK9D92KRRHznTHJ+mCU42etKraN
qT7LxL44ebN1O2wTuO9oiszO3M1D9KmcYTXRTW9rR+7Qf/lq3d64Cfl1It0uHVQCq6GWs/vEp7Tb
V0RvH2miHh0Wd7zy6LG9fNBUS98hg+x8UlIJvJ3TOWgU/UKAaHVjV+6dJbv9nJuJV+YjHV2ub/Q6
1Ta4KIhKsdcSkDFbn3Wm5ybNa0xkttdLSg2R5wGUpo/I/ZKQFtj1xl3Ge8I9gIw0IhqPtdwNJMCt
iuCLI2y1KIWM8cZlSjwIIru4aWxGlTk6sF75mvDtHCdrfMuKjrkVXbFfypD7JuPJVLQy4C9U7i19
vlsXDFqBthPtp+YPDiO4GZ3h4LRkDKGKCBU/c4xT7AIFQhH6We2W5MBxjKqWHUVkzlslbu71JNxh
C8bdFYuBDDnIQ7SWXzLY4p7SGbvWQjI7Ng1NNxQsXa/vB2s+M5ZIPcVodgPmPiurr6aqzg+1NmFf
nO9UWQWAgeTWEvapavBGasr0EC9y2E6D/p65A4kbNN5IctNgyTFT/tupfu9UcbH+dad6em//ZOug
8TU/Cinor0ITcF8FcJLv7ejvhZT6G/h+jRHX9yX+T+t92lF25yZ7BWdd/K/lzY9CyvxGf0UtAG1f
A+b8j2ZsNj/ZL2J9fENk0DFAAtmMfffXOqqOVC1e+iubtTDZtwmefifW2eA2pruzR+eVUMtp29QW
CHRKEXaGRecMqEPtRE9fEh0V6XUcVpRSjJnrAvtZSu1TK9Zg39RYIKebcqqvaiNLHpB9ARICs2iD
Mlo6hkBx+tnILZriUka7Wg3pfyNWZcA5uRYSXzeXeNt/q/4ba26HgxkqBVAr7Ru1sYjhRZGeDTEJ
BZkxiC7ptnrJ83QsCoK176OFYRHu3TDFxgirk9DoiKWEjVRtHrkJie1Od6wBm2BqQm03ZkILprlZ
dirL2qdljAeNVbsUS2B0g4x8qbvLTNALGjamkKHCyNysFSS39SIug+ziyq/1StwnQqyZiwBKA8FW
Z6ex5+/vMyNv3UCYdX496yLWd43Nf8uI1OVlMl0KFrBWKRv1uLIP6OsNNfj3Ef3+iDLH+ZtHNCmj
7r+bHY0v+v0ZdX/DZ2/xLGoC0fg6MvrpGTWIFBUY3qAKrU6xH72OoNfhH5u5kSO+PYe/P6LrMImn
1taZq6+YpH+0GLTXVuY/tvrVT8O4HbcPIYzEhsCc/OMjqoUGDOLatq6IQzPaR3wlOSV5KQv0GrEC
7NRhn5VcOicznmsM9uzvAKOqigG1d0WltsmKTe2/IVSlI8CpFlVLXqw9QuwbrI4HquvCIzUDik36
oiW7rXDO1DhooLt9nmkz8AUbV1KUjW+udhsqC6wPTfxW2ayK9NWUw7YgpghRvBm/Dk54tuB6Jv0J
L0+shc/MP3D3kFuPcDn/5vrJyCnzitUKNBIJjC0o5rsKrxpIXr2YihR7CUMwMZMQ+F4+kZJHCEhY
jvWbTh5cNNKy9KIIPa0ut+TnTl5VpPsmVfZJQjU9t+WbarQpM6DQ8JGZPiaR8kW/1KW8VCYEQpxV
CC6gNId5+KA1zm1RqYErx1263Gq9eJzG7pOgLTORmLvf6TD/ruj1v5XCXb3WfzJ0WL/mx3PIZIGd
k2khNVv36mva9u/PIasldlV0z7g28a/9NHRwfnPAcRnMgV12Kt9Ucj/uSuc3zWI/z6eTO9ZCYPdP
NvREsv76JNpo4eDIsqfF48Za6o9PYtt0hWmN+nJdrxBDTe/Z2VKBs6OWj1ra7MI1xBjXiB/Ww5s6
kPkuoCYwdTx1VpivCvLHlZEO7eJiLWArrJ7ogBCLjRqhvE7yrQydG6JW4Q1qgw7xXN1ls3uZDOtc
FdXOidw9hiLGDyyLHSDYdOIwJ1hH3QuLUWBvaO+KKE88i7TUoxldbIGjS6lBCjiNFUgkYIiy1B3S
uINqkUCFdfjJro2bTs+vLbxHmwGqu3s2xvwJZPIunGk9pOXe0juB/EKhA8nElxbKpyhHhiV7k5zN
KL0sy1AzeeJ1sLrsFgVhFht1j5DpfaFkgFpnrfV5iuOgdxO1p0avj4MaZYFes7AbdNv1M2Jhk9wi
tSx/iwCBr2feph7BrQJCyzxw4LuZE2Jrq8zTp2zfliUJJj26rC72WzPXDrqsToaKSUnDoQD5nW6m
ZcMWZvZ5yhAbuZO4b7SE1FPixTylJHg0wp10DbT9UE6DypYHAZbVWfmB0dMVKkeCbMve6/rwMyyt
h1RxrEOiGHtThjjniKEuzJk1koBGbaXTBqDtvIrLyWUNoT1lhfogHabq9mwdCDCdfTOq74gA38/s
NLwYSxVCxK7xqqQLD2JCM6SpGWVACrm97IaA2ZEE+5ubGyvKvrRaSYJLoxEZrSz6ndtoDtjbLIgt
NP0KNZyv9Jq6HSeVpSE2qYK0lrA8iEGx9pGjTt4EAuVQQyyYbdCko8ngROh2uusr8MR7AoSq8N6Z
HMQGIv4aKVUN2S1zj0tNV6Ll7aFtoodOFSscXd+bCrJCkJ0BTbsVjMA5nLGscGu0FyboH9VMj2Iu
00mdx+e6I8lPLMnToDPCSQiZ8sawfh47R2WfupyHcma2oppe66S3S++MJLFHu1UIVq682FB56idN
9Zg071OdiZiIzGsbdu3gaFsrYRLfmdAzCDPfpbZ+zgUSSNXtEUiH16OaPTIfwbNohYdIb6wd4ZnU
qBqBsy3CrC360VdXzS5xxM2VR3HAXudS5pDWrZHkN5veMEweAeM1aDmjeINy66uR1E8jkUJKlMtN
S3X9SrJVQL/1MoIs2Ew92DXkLZ4mRXYLHeNzXzMk0eyvTCdO0qqvFs08RQxNmEdZ1zP2gkvZFrtc
xR5Z2+JkzK1HTCe5wnp8Bzt1nWnJz7r9kCmBKZ1TnSRbd4SKhUuV7KtaeUhG1qN9lt86ia14etW+
1Ep/lyKi9UqFfYVFKqkwet+YQr9I0kBRxB4vSbXpw7TB4da5XpvJTR67F9slPGnMrpMC8Aneiha/
/2m0UWxkxfKZoLp+27OJQKzRWBS5uZJGhIY252FaDm6dvDE6QdqmYUUtJndTJ+l9n1tvbhs3AMNY
5ZSN/RQpTEq0IuQhrqBUGaTiFQ1nIcJP6MhdqcviOyTh3xt3VWP/del7fu269z/rT3+6c4kgWbNH
wKxzs/2iiiOubv2/Oe2+MT3/05/CrdIYveNCV1HMIVBnc/DjznV/s1Vb8B2BUXwPLvkHg35UdL/e
uRbLAtOywC6a8DZdVHs/D/rHwZ0VqtrpWlJL2kE8him6VxsDSSSTGGdLeOqXLDICmY5j9qQNGnIv
2uqkP9RLsgbkclGeO/gfS5DOer8AAa/X1M+pNIT1ZUbLgRSjbsMl6KMWLS9bz/0stMj9cNVC6+9l
1wFs6hPbDP2QrGHXz+tq4hxk30oL2IhIX6CdZxOTpgUoJUiEgfsuKPSoXQL2JKjdVi8Qu7dM2w1q
Bvq5HSPTesw14OZbgMZkcGs1XiYcx6RgjnI/G3JIPybDmbdRygYziKIUggSAeXUf4zM8KqGTvyUI
5XyXWS5Bx7UcAyVnXzsWCTK0mKpELRR0YqyM30aLJ29ZCsAuqkRQbjWRubNk/CEmhelj6XykJddM
X0RFYNf8GYFYyNtGKJXIdKdTHGE1c9gOYzUvkD73SNdY9FFi23a20dGK4fpGMwERFd/asKpoCG5V
905rEika4jLRyHLgDqiiY90q+Y0pSTvPZ7JGnbp8z+zF2hm5QTpzPJq7ruqTQCWYeJNFDKtMklhv
MhXYUuNilq5HfVM0zRQ4CuDzyDHeY7wxe3oIPhbImZGnmXj5q4jwGqG8UftEe7HkA9jOytnFbfth
T2GItwf9vc2aofOnFpRz3uv2rqqK7gj2P/V1JU4ZjeIljSpRHbNpBKyYYk4gWI7J5CRvXTckOsSt
iqBbOe/wBvBPtqazmYYQ29HS8mM6xnNeZjqtUsp+qDU5GScsrczSYUfXmLMGcDHMskVzC98JcUs0
4cJPCBVZpNZgj5Owl1iashtR3TnoxgoXtDnXwazZAy45eNDhXGZ7rmc4NGTD7/+dGHybGKw99F8f
m/fxa9f/SauyftXvrQpnIzAJzWEZQP6W4Nj6vVUx6GI4M8mN+L8D8MfM4Puxyb6SkYGpOmxCfz82
yWnW2SKItVmhz4fk809aFeu/iaj4dfguGlMLQyddgbP752NTX1+8BqZDO2HjIDXJX9PM6Wm0BaVV
o1zXsdpumE5fshyxPQLbPcFElHwLfoFxdt5ZdFywBD6YWZmTrwnNVRoI17qISCTH2Dv5sBV9GBTk
LU5sogrKfAiahY8I4aWzcFwkDBOMGQflzODeJhCqH95tcs8n1wh6JWKXp9WXZja/ENexi6QLyaOD
e6AkxbBP63bfuu6pS6MAZ/x2wR3K6CPGnTGeBfBZeyKcU48HT7ZmAhBXf82BMaOqf47V0draIYSP
uinkrtVywotILwUQ3x2tuR+3Tlif0NTuXSMNsji9D8ceCj7LymCssdVoZrTpnHo7CYzHeKnVk2Hr
urc40+IrJVnWSmFfu0b+lQOk3kkdcmhCXAOuyPCBtMWPvB5mXy1hDGB0vGQmlDIiJrKAyUXuxYxx
PMBlEvWaE5DZdIytHsz9lD+yM2O0SoDkgAYupl7alI6L8FdBkWj1F7fUHxoWZGy6b5M5UYJhIfFZ
FtNOXZwPsrEnysXydo5Zf5uO+5Km2p3EagwTubLZRRiFJ4XxsBTJS8YYB1wYvlMns5FO4nfVCPdo
1I8O5+M+XVDJ6Mkgg7gTHOShcTv08ac45eePKGlJp4DPIIimHATSy7o0zKDohvcqzQ5Kl/tTROm/
EkmAILBWRmENcY1MR6xjm6qMnxGd3M0tnVPF2b9ZjAG4P7dIUyLt7qVr+VPK1+VGj64Ou84Okct1
VTlrBBl/7x3VMMIWLrf6RRuSc58m5zZxkwPaPodMTvZRpl6yUOnwOhaKAWmtr8mzqq7K2D0jp0HP
jGUTPnJypabVS5M2SCdz5JhD0sK0Jx904gedRoxbWj7uG0290XUwchYWU8JHTm00HLqyfhyUcVd1
5SWuqi2SHBfAI/qkqBvdwBTYbESO8NJRx2c0PO/dqIM/m3cQ8aWflqjzS1Fdq5LfCsZM1Uy9l7nj
vZPl2149NstVP15CJdlK0kKjubzWrPJGH8M9s/JrBd8VpBKE1zkwkAGn8lARsqCv0S8iRaGjFEno
4RsL0QAAyin5pmVh1Z4j9ILl+yD8Qh0/KCMYgxWGvfbgPKpZ9zanWMEq58NO5+FQIRNjue26O620
DrHWWP4SmqyydImxDv/bvFOUOQqs2cCpT5TK1lUc1p7UMdEc90fM++m2GM2vg9Wb2yHOvlbG+Nws
wxcszSnBC+hPI2O6odAh8TIhTFz2gqTgXCcSwhpKvT0Rbd6f1sgRPwWYsUlmmIKbsugPVlmkYmsM
tbAeafEoqGKzpbYyZc2z1JTcpPZM8eV8K8ScUqEoawgKxUPsaJJizbCW5EopgZDcfy/yJrdVjBOx
CNVpsso8fm5JyRivs77eQ2/RPFT7ecDg0NwSQBttGnV5xSlw14UgHftsPppmOWxbpZ13jiJOFvNR
H9WKuRly8aWpKjYrvaALTc3nTBGOF48jqjIIkEej4sOM6RkdnEl9IK3qcx2ar3Ha6n7vwN82luaj
d2MWqjFJH2Y56RuVOL1N27cQHgh3kDVZDImLiq1WLowrb5VwOOE7+Mxa+4OJsTfNMsU8NuOAqy0Q
i8Z8jOXBUnFsu3b9mmTVnaBI2/Q6Ox60OzYar+le1dOrsHPPSipf8lj/WDSsFV1kfWRj8VSqia8s
R13OJOdabRBG7V22Km/UmIp79uf8lMf2Rc1y1Xfn6nWKFjCZRku4CjPeJlmgJ+jFlbCzxUeAFAUq
aAb0SDqYDWvxk3m4LKo8kQoWerwL9d4mR4J2We13BjZwrzZr33YT2Jqs2TFYKg8Y7hcr+qS3ncI7
mZLmpQA2cTJ34sVbglUydw8liJpqzh0a4STyJgLUrou5ngJq3HPt9PrGcTBOR5p9nUzlhQVu4c1M
EVwmzxRb+2joX4U7yYBS917mShMsRZQH+DFqtDDDYzgMnT9M5SeG6MdUyfgZh+V5aNx4y1Nn8hlY
qg2QPcVricTtXPeRA3qr1tDkixjoUGTsQaA+NiMDncSePXr/FTdzMzr1nWtVbwkX3Uaz1StT7U+m
xXM3It/ZhYvWYnxvDxGtA6cuHCDdYp8E5e7gWpLEmAgqJIzAXWcxJ0/M7ppslBsqkW2p908I2fcg
FIFcDTofwMGcgTQVY6BqToPQI7R3CqN+z2Zn74ts3JWKou0EUoZDzxvqdXF+rZJCt4HvchywY24a
gRSgmx/zkpG6rLgEObK2AE4iUI7aKS9d4cm1Dm550k6Rpt8IjbmJAmth05dqcVh0yvgxJIxKIh3y
Uts4mGZyEw/pkwLGYquUqKg45Djg4PEuhc4jYTk3ejsu7CGMwhfV/AX4/ifDaq6hYX1ZTINGT8XE
KJ6rLHquolr4PUPQsKif1Qpug9neT45+MlLFQ3+b4RyNT3o7vUZFvhts/d1FD85U8nbRbJAAvQqL
dT3EFQtmBLX3v2X390UdMui/LrvPVfc//6+M3vP37k/WdXzpj9p7XanjlWNCqbOm+QMAD/G3iySc
DQIgbjjX/xlZGOZvMLChZEIvNBAPWj+t1PVv23amGRbgM0LixD+qvX8ZWNgahkEW6QZ+eUYn6i9L
gtSxO2cqIbAPRbBYNlO6ndl8+umN+T+X/s+sbcr1P3kVlhqAxi0Ti471i8C8CdGsWIuVXvVVmuR+
5agkPCCqc7zQoNpMja5Fr6trZztyMDmTx+XlS3gaIYHcqXV8mycERFlxcp5UdfBVRuae5gxQerVE
9dQoPkx6cRhG1EWju68H7YyS6Jaa6tIs1WlujWuEAkc1ZWpYjLjGUrVxt/ba1ZMzLTeJ7n7VZvjE
Iiv4Q25IcqCHD/RaNB2loIgkj9p1MW5LrmqSlSQMPXGclKXYhdNs+73SYYF0dbTfw8KwJuNg8Frd
fAqBJexI7TQ+6zikN4qhGrtEzWIRxENTc0fLJvtUVRpQKTzOch+5IKMOmgEHZDMazpWQnZx3NtQr
7HIOibK9URvO06I3Ati3nu9aBeXbTqsm8Lik8THrarzBKggyZZGDWNRpdOXC96/9LkETtjKDK6Xc
OZWZ+Axccbqv6onWdpK9kZvZcUCF7dzwep3x2ZKR3Z3YU4wV0yvjrrJba76Jse4TaSXdk9sK+zhG
Q/Syrsk+jXaMGCOXeEv6cjAPDtp7ItB1gkv3DoMwquupcx8pjhmKI0UIQOZRutdz7OUDLD3ACPIw
6tZ45Q6DHfS852cIUN1rF0fYrrnq5IwB322ongE8B8hXWOsSeHcHJPyYqpQ8bqW5dyjTGS+ngOgc
yV1W1QWOgcz0x0pDJpJ8cgraMv7qRl9wtQfo4HS/Y3+GNGNOjoIcvMDu5bLr+1zzShdlaxePMHVk
0+2EMe4nswRnPevdbYT6i8FOcUnK/AKSqtwWbXJrVtbB4fT3Q5Hvq4QAuchQbzp3uu81e3wEcux8
QFbfdGTXi2kWH1Uy+FZB0kjYaA+qMmwj0ZNAV2WBqxTbzCGHdHZo80T9tev69zJp32Uqn9ge+60x
Ht252HKA4ARbduasXqQz+obb71HjnLGBY3wd31RruDSFss0njbEP7LZBfsFEybjoS6gOGuG8ucHw
jJyszBpfLJG85YswA9Fl3bEfuaKVaTnrhX4wIv0i6sEHyPBS89eHli33S8cOwlFsyT/bD+ryMocd
sa4EFDZqszGg4RFFVqqIl7F+ajL2Ldu+4Xe8s0gRoxhcIj9pQ6hWI4GosSng+IT6bZ+XHd76/hTp
Mx9mEHV5Q1HIDc+nrKDa4iFSKxv4IY0QHD2nNtDvVp+Uhe4EqNSgR7dlU59t/nvU3XMxjLexmxxz
vQ70EJBkFM10B5kGo2KqvaFl5xa16lWmZJ+rTPtcZ8Ux6TLUn84xHbRbVL3ocGHf5fnFMlNSlht5
WmybESizOQegXZPZ+4GO0G3rBJElSWPLdHSqRR6apSyPIBm/FhI5pBKjy5MRgXF0I9mucen4Ok25
W6TSbP/+5P0TUyIzH/i3DqtO1s38+4+TlVhqxB6KHL5Pk+nBmLsSijbshAJY4rkvjMm3R/h0VVww
rFzetbrpbpsmUx+cxck31TzfEZF8VufQz1z7kzr3uyYWH2WWRn5dg4wnm5EoTaluq4XPdE7udhVa
nTcxB96YdDG+7fR7IFJvgDUHL0m7Jx2jZIAonCg9lU1YXnpT43XzQavp7/uwhHLS7nRC/XK92nWF
/VXmxT0JBscBwNrS5cdmwIVbV2en010WbxJmkEz2+hxbXkfSkgiBD8UsYCNW7H6ndnemHOiJYnFU
Y5fnGlkVaQYavXY7P6bJaG5cMRDzLPVrk1of5pDAGplkl7FeruIuPWSTtbNArfsJMIywzNwNEkqU
uQ7FHdxTK6rPeQTLzi716ySfTvlQ7LnXCDWomT1UEspM2l5naX6H2T/ajCUx5aJUEs9Yt09te5MY
pLoUC508m7RHU5o4E+eEVZ99SkY+TDMfUKddtlnWrCy/nVYX2Jq0l7SQfmGQROiae8ZZF2ZSXyt3
hWKAOYlc5WuoCaT/eoM6FB9RlhfaQanXs6w/J7Z41tV8q6oS3KOSvchC17y0kxk2r+jaWCzNx8e/
olpTZw8OcHiqGDudEKy0l5wB8uHvP6qolv6gG6IQwSOHQknHeeGY7i8lQoqrHltXAVaPdbqRHltQ
Hn//Cn9UJvEtDZvtDM5csApIoVbZ489DRkPgwXXcKLrKRbpRxHUyJPukvmsnlNstmA2BtDgN/v41
v8dt/UcP9d+vuv7eP7mCh5qu3DQU5aLK8h778OqRKO+5FZ9ZqshNjPqIptH6JELjMA4ghMcZw3xe
TiuTMKm8sl2eK8U+J71JyFkRb3N30t6c2LQZjKSPgs2lH2XyZOfmiwhp7rUcHhGfprJi6maXgVMr
ja/Vo+PZpZSHYbaNt6pM+63JioVg6eQLuUVt0Kgi9jmBJY28AJcyuPeDmS87zsPHIRr1QxGRiyL7
r/BD91xKD13bbkU3dbRv6d5AuhykKhVKPpXlTi6D6jXMI/12sthcJPPdyqMp4RpiBI7QLbiEGHTj
R9MxIYDsc2hNZS8n82Fe0k+mmh2tHsRYu1r8k9DAgtYnNOGDdciW9ISNzi9lqPsGEXpcMBmnrPpp
VMmqT9Li4kCxKVsGpOHCJ1gNsj4qMKPVfpXCSKmX1PHbPLzUSKEBBuy1SiyeE833CDQp4FhQDz1i
DsPoVW+x+51SAzqGtvMKnunSqsVtg2607eeeKcVxtKCyjZZBy+9wImraYynj/RwyVRjb4aoW3JFg
jA+sU96dRh28kHDfxjJ3UW2e7Sn/3ov9Jf/qm5Ho7z5tvwzSJ5MSQ4c2cUnP5U10pWybU/M07ZaD
tRdnh6vH+6JPG+uoXcrP0+nvP+sr++unR/jHRx35ErpEHRXw+gD+9FFHOOqUGfSFS+1bm/Kse/UW
Hbd2Uj7ZWzVQH68V7/xpDNACjK/8T34lz+rmmGzDK4PEtf/PT7NebL++E4ZKeQkRgDbK+kUqLBkY
IaBM46tYvYEowlj3Uzt+3zj95dv9xzPr+y/882uwV/75FwYkNShxjD2kat6jdu/K279/R//0d7BZ
2BBh+c2G9sfvT+r9ohDCy+Wt3DTgq1qLmvP7CfWv2GDNOf/r9v3y+vX9z1yF61f93rmT0c6BbJka
E6hVUPvT1kz9DdgDvTsdm67r60Lth9LW/g3dnQsUh6sGJezPYgPxm40k1nH4AgPoHU39PxAbmGL9
eP3nI47U1kF6RXqVweoOwsX6Q/z88UNGJTs8JNF16Ba0s/Bd+w42QQ7ylSTFTzUI2HpmMbEAhbVX
OmxZRFzdw14FG2uu/NjJtTgZJxATdn6a4UxsFjclo2lElMCMcz2vN/1KpHVA0xJMDs4lcVkZJPUX
bahh3jjDVY90btTGFwHgVgN0a63EW0LVPgs39xWahyeucnVfUr1FxRR6dmiNPj92tR2A6FYJViOm
ai/ML0u/WUm7ED9ZcyvC3MLl/xin7h3VPYzLldDrVMzf6bLuqyzGyVi+LsB80TvBrFr5vpVFR5ch
qLNW9u8AYxMENSnynV29OQCCY0DBhaXCZUPA5g8tFOGu1m4UsMJpHl0qMMPpyhtOWwsKT6LfWGl6
o5bGvEmSvGcG289eTnWxQxg/QrWZvgDMxefNbmeTxQ6b79hCMqymD+Mob5ALs6pQwW10Ro6sr3Dv
O1DJRaHdduXUbtMc/LgCTjkGqxz386muYhVaYEwYGejlSKtTOjRozEh7q001WABUk45oSNK1H2H1
4+eprIFwIjuFKAjdGdtEuiVC+SujVXmMxhiLX6lGfrdyoQ3UckENKlo0IKNNloZyCMNbufKkY7Kn
tjLiNnXzwt1EK3e6XAnUlcBNuGYTJTZFbPNZ4h7YdZGxilBimtPIhogK0ho0DpYKgNNQrkNY2c0S
2DYEbOriL+wDQG7b9G1Y3IsgX4nZM+js3MY8F7X1JcnYM/FNJfxb0i1X4rYKejsJNUysK41b15s7
Gr/Yt/Vx9tOV2e0MSMzVlePdIsDyomH5MrQqfsluoDxfud/pSgAfVhZ4kkIFJ9jwYhem6zuzeG9r
orBbV7sqJ8RdRs9HmZ5u9qMRWWsdMZfSFHFfAiEfVxp5Qg/FmtXO9303s5OIpnsWqN0hpOvD0skC
rghX/Ufp+OpKO2/Anocq+srGzM09fKUXN9Xf6HZ29spK1+fuohSkjEaKQ64TQPUlbt5Iopf85du4
H8vOFbeqXHrzqC3M1CjQLTrWuZVsWKb/Ze+8luNGsi36RVAggYR7LZRjGRa9e0GQMvDe4+vvSmm6
R602N/p93iZGoyFFohInz957bbDy0fMU8pk3UrdkeYIZdMZrOpudeeOM+etYILIELrHIoKWsnLT8
08R9m5vR2BDgQnIYFWSy7GY4uSUwo37cjRm++piwbUCycyWi0D421EysapcWdBi0D0sZXBqbtOrk
IRuUxbe4q+8NM7oqDPc4uABWuuS4LNHO4OIcadFZT4iBljNeEpmxDsobeaeX9gDwvx629SSOrsnW
h8vgFSVkxobd2+vohft2lEd8Od/sztm26ayOJmpZg3w+4Gt8N9SQVwvlDJ66kUaywT7ES7d1AdWh
opPw656LsB7K7RRVcgFH2JT35ti3T1xlRzYTBlRcW2+HZm/GrvUGfNE6dG2VhTdZmIWoBLUm34LQ
NoJzYsXpLvfSbt17wbNgM4F8aPBoBEpG4XnZyxJm75gsFBTw3G0saJ14kvXXXvb7BRYPcrS9j+wl
QECv9T0yDuj7Mrh1l+UyFX3nU3iz+BqtbpkdMmbDONrkVczxhLC46cPkW9g4tw0Z7b02WtuZyNKe
WsCMwgbnjh0P+4ThqbaACPMp3rkBMSCvhw6kLzeejI99OkMGrPR3MXGOl8UImyO/E6PI/K4LWhXz
jHnWgsuc6gaCJvWHWB2oHMGklV4VCiTdmsW7Uw4obQbSrQNtOk6TDwO6aJlMHxM06qJGolzgUwcS
UDX7uHTlwK7WpxOW5XUORdNiQ7SQi0UnGtxLqLDXA/xrGw72gjwaKDC2AyFbMLCthIJmZwqf7eTj
fa6A2pFCazcKsl0o3DZ1BTnO1piQFEGqGSa3OejCz0fsRga87jixML01DvTJ+qZUSG+gIGybKdeq
I+NaKuy3FQK7bxpA4BDBU7u8KSGEaziQ/VK3nxN3+JyMQMRHlMFRYcW5kx0DqgOt2sUKFV8QPnPf
gEReKSQ5mvA29nSY6C7FCxicIZuHaNqlILouTgUsC9/ill3M5DFZTTkeDgyStF/twWu2o4Kim6R1
E4VJzxUwvZinLUSgg+xAqfcx6fcYujpNlpzPpiD3RhmFFt9DxHuve+fKwIyVwlsbwLSnJr9qHZBc
owjuDij3XIRfE8/bWyDeS40/DYC+dwP4ZyDwuRHtvo9R/5snLfYFfz9PPvQla53i65+1IPX3fpoo
lQ3LIRsirB+Oqt99WPonzE9gKOhDgscDB/n3idJVCDNUIGH86GrlmvCbfRVtyRTKMeWpmIcKmvyL
idK2frlwWLAjdR1CsyDQItmU/HKhEfgvc63M88tiRQeK1QBsYVucUt5QAGS3A5uVVRJkZ2KB6dYy
5Z7l8S4GJx712lVBZt8bDUxJFMyY4jC21Xvay9egVaD07jwt4hSyqVoi7KgpPSN+5ISv7Zzdop6m
GzvP2XjZNuxyYO0BTXH+IsbsmM8ErbOUocjNO9RqMzr2fenysSKGHtFF6JUe7F2s5KRbPpj7tmYg
QBiXl6qxCCh4ycsoBmUtsS+uBQ3V6Fk0pmKML1iCvthlieMMD4i/UMnhx0MqrpChT13nXJlB/mDO
09dZLudWeh9Z0D6MM8caw+KutHsa5Rc4s4N9sUrnkHUZ1K3IemTbs17K7m3EL8ubZgCMqOHg9dwb
6TXHLAfYMabXyZhsK00E6DXEvBMn01ai0Z49hcMol4rcTXKKGuowlopdCa+hq4LoA1g1eiAjm7e/
RhXnRKuBNfQniQ/ruqpvwWFs8zQGKyAujuVte3O6g2RJ5REWWbMR76aA5pFpL4MMnrGLbe0eOq83
jBb6T/4Rz/1jpdFMk1MKCZInuZ4HfnR12t+yAp7WbWrnT7W8QpdyVckQBzO0BlpqdHcbjFB8csse
/bkf7qOZxag9xtvYxmXV1cVTz7cR1Lzv0libmHroi4lZUzau4NCdwVPwe0gSOvQSndaecnaZalCd
YheTyxh8kTXTMFnVB1nadxpUVF/r7JOXlwEWXifCrMYlIG6iO43wBLAlebJKdPqpTh7coPjs4gEp
gpxEefolKZqn0COpQIJyxASV2vsqELQ54VOGxTSFPh66rSmJ7sdO4GdlnG4rRJrFo4FxSXe6HPap
YWabop+wV+Amc2FIraWtCnic6gVj7sYTGCXoOsfpmrWxjwltXBWTaPENAqXU8EKulmmmyYX005l0
/WO9QACseteXOrFarkWABdA11nlf9NiXy6NeQlLCY7bt3fYltp0TF9Q73rFAUWOPzimxLPRNJT0G
kwZ701zwZJrGW1XU9+7AL96ilmy2lmuSXl+CQRNrc7DuvMq968dgP5pYIUQQXDmp5q4sHnoiW+52
QgTwyfJQiBumdFeOzbhK6maAUjK/w5FpfavVQkg0/O1Oa9CKtDVxZLLX3FpEBoIEM/8uXox8M6d3
GLxFFEgcHss7Qeb3bqCNbxoe0gw6weTegE2mHipcpD8aFHKZsfYE7qkAj4CTniEv+j7txfW4qtQE
2FtoggVDIb/X+SBba1NyFVmlCOs4ouVXNWZnunaeCGNuYncuNozU73BJ9nPVWX5pQ7XQnbhaYe9w
VnMDjsWomTkcVq91i+AUGKHnGyZk9HFArRm58a74778ZGZVLs5UFq5RWCjRP7a6m/6HNeSSknceH
0nEeq6a+bqk7xHAuvzKEXRxaL9pksnE+ZnJTjMxOtqCWR1+aUyD03VRIftv8xI91wT8a3yPAmK54
lXlWbkuNMziMXTqNhoaqijncB/j49ki777UdlzuPo1GmmAPNXvOjSJ6XLrq0GCnxf6sUXGzej0k+
QnUob+pW54YrH6qFs7KE8hXWhg80kLBU6byHpN0qOzoY/OPWY8xlmXbOR81ehI9sVm+yBDdYY/FQ
p23wSl7htenqO+qiwn2YaRTuin6Tc8Bxh+3vK5dpq0n5/ZoaoCHF3R1pZFmFefOhlu4zp3wZeRcO
ul1YR1BHZPswB+NTanTPTe3Cvkn7Z+kt+l4YKHC6bkSIQMmwjl30HuCJFHmENY54Cm+bNrkvbHO3
VH25DlLxOqYohl6WbK3MS8i+YW43KxvjgfE02Ldje1iClzE+ysi8pX+JS5b9lGiEb+lqtQUUSLso
r42K5G+ViRZysP1VcNCDSvJuhpiu5VpqwV6zMHU5JMY2NND2q1jKNe2pJ+4Ud4Nn7J0p4/glG4dJ
/p6OqmNU0nwZh/0zKnOy0uvuUHfXg42d1GKLEDoheQMzpjXci3dG3VDX1MTPwAx2EKTY6moc/0QW
z97saMzRPaVv3USLK8oHi3SX31aQb8YqPFhMvPTwuBE9m2Xo1ZilTKJwU/mV5r7oPBYd0g7AGct5
TgCL7xpCI+BLavpwRcTUHNHEwb0Fj23odugE+CY5vw5Bt3gXYTYYQhdtoTCok1dI/9eY+l33HVPj
vFsm+FbwSJH5wOWTkQy3uSXOBntwTqODjUjImhh6DdnAtdZI8yl2Kk6IgaAGFWX7qJbXUrbhnu39
V3PWv8Kv+eCVw0U0migJ09a566wNkpomcyx3FFGu0yn7jGZXkD7kCqonBlKiyfEQ2i/RlA+7mTLv
zVhHm1q0JZSSZWsPKHAuCbaQH3b1gZNVyECtGfaaNhrXTNwXs8LRFzPD+1gDH/nx8xYX2VfIMIcB
WPq2qqfbprV3idu28G6cYltMeorNW6/QChHuoA6+FB0JuSm7t2hRtDPrMffoaaiTjoBJejVKe9vE
MIX4nOAYnLaiqx6cUn7mcL3pvLHw6Q1gAcG9hsJ6zAyV2I1SOQQFMCIlzznULRQ2bkAvyS8Onhok
8qjf0MI8b5qp43kYw2zNJZTeJrvFAo/rpbJlC7bGeF9aePDZOO6cmJwSCt01Q+5L01SnyckcQura
RsSTb40uzQ3JdhiNO27vRz65e8fAMlGP0WMFXwdLbHYeBa/alAangMtSVj5blXgBa8Y7onCeW2M6
lxOkHTCC9NhoNDh7VviUz0CxhZZdLfGhkc15CsNtNRrpuo9dmicq3tGa/dhXw3mZyAgVGBOkdahT
kfFr58Yzuf1+buZuU0z2Oefy6Ns5B6EW7WglstcoLfu0NLANLVR3myaCDzQse+GON+b5jQkvcR12
roa/AQfrEFF0iPCloF/odFYOIrdqWT+4S7NvpUGDt558ODAEfXfqb5wK+o3XDOUu9Nr2lNfNjLiF
/Js4LodSsEupNNx5+ZgwcwYdHy4rcxf5YHfawY6dfGdH5ZXHtFWxTDMTNpwD4N0fouf/rmMqQ/L3
17EbntP39s+XMfW3fruMGfonxT2FlaHgf2hEP633xScUaFIxOm41sifcg/6z3if5Ivkj8oQO9xtY
g+jUv13GvE/IBEgF1o8mm38XioFR/et6XzJmYgFETGClbMpfFCxU+KIwwQRfrGzs0n08kCWr3To9
cwPz5dLecrQ/B23A1NJlu5GyM5wo7SrHSm8RSfaCDHBrOj02XcX+pmxubR5Vj4hIH7CdyCfaNkFd
9XtqQl/LMDwE4TZyw4tIPDbh7Jl9WgYB5wiuIGlr446bly+ZQr/MPTESGbivhAxBUZkaWvLYvS5l
vmdwC9emNdzEY2duGGRi/lw/LgMTk2FSdo+MQR4yeyq0HjNeo3+Nq/bbuBhfXHRWCrnSCOPcdJ+7
0+ink3yllvAZd7u9wuCGsR43+rB414U9z0cNZrYt2Ktg5YbqGSRr+JD8D4P2mxX0dKIs7edmEBBO
qfpiYQSQI5DGOo8wQC2l+VlPX6z5htjIQuOrT5l9s6eaIKLqlrqAEfyY9K1Un/IVe2DiyJU5j4wY
JD3eRcyqexNPTU6D4kDFl4q1IZ2r4Yi6vE6F3nSmcLzvKghnIAzoKhxnGkMjCBtxJZxVeI6LLub/
JWtuBxWt45irV5WK2xlgjFatiuBFKoyXq1heXmMHXgjq4b0C86fCe1j1002nAn2TivYFKuRnq7gf
Tggu6ioCmJAFjFQoEHxIjoNRxmeqPJL16PXtIQoHZzepQGHBjrZd1ypmqEVmsBNp/81QEUQqdHu/
VrFEQT5xwBuwwsCh3uy4ngWwVOorCTRS8fzVUxHHnmXbplCxx4b8Y6aCkCC7sxvXhJ+ADYw1uTbH
XI/gZ0sVokyH1tq5Uf2VcJa3Y5Zif6lCl46KX/KTW1g4EMl0CW1g0SGmGegq86Sim4UKcZrf85zI
CymPEyHPai7ILKLdrFqVI+Vwb46jioWGIwFRL6IqrNJdc1d1Nhc4jnyW5Na3GOLOSpIxFVB4d+33
3KmuIqiJV/HiRO370HPkryjIycyr0CoTLBfjSg7ECVSmNVHx1qToCbqqyGtD9h6wH3uPTfQ9Ezup
eKzHgiX5xgZg3rtCGLeliotgy23hgS96czQrqpT16SEDBYiMlCGjc/OnbK9+mjUv9PUl6FZMlyUk
A17LQ/uK2/05K4kQ0WMwbqIc5NOQlyWXaILCzpw8iaK8Seo2fpspKloZURid5t6lK6bq8EL0t9DO
ufDhEPPLwqmvvN7+GmXDW68H2zF0I3/ytG9j0qm3ePxqaskhk9mLyiHvzFYj+ZQ36hDxzvwornow
4yWfU61XoI/cfcCXeFOL6FCx9qRbGYipLj+z5XoeMm1CCZhuuqVxr9ym2ZdLe98u3iP2MvimHYH+
um82g4J2AjWYd6YBWTQpJlgieXEcaZxr3Ogu1BucjyGbB0Jj9dEi6cKqQ8WljX1cRofUCS6uOZ41
mkRUJtDlk4K+UfCwreY4K4ioePFH4hbFm512yT40B0YqCSVxIr97oIkJo5VNIkZa+QdYU84svS/o
D2K1PGr3dtuOuwRk+yEsej7KWPU36Ty6fEsQR2c2FNtq4kwKyjG8zcGrraB+abffk7+LHgRcjfii
ncKVgQ/1djpWmLsMTWztGu3AAqDpd21Crk2zJm9XScE1IolcPtpIEHrgzNAPWbQEbWxCCsvlxluY
I+zG+tbO4bJO5XI1d8lFL+ghMpOT1U/5xhx1AzGQu6qpV8EWJjRtAY6lQ7MMxJrmzXJv2JOlbCur
OMoWLCuxsTPMiaM+4buNcj61xgiPISuYsO1IlSlXnFK6wpKNBf9SqxmsfTRAk+lJx+20hHx3khP6
q6Fd+0DA5Ypj6j/+rv+NOsrl8/ejzvm9if+KmsBf+n3SMT4x5ajCHtDrYBP4o9/XzsR/DcDvtsUK
2YAm9vukY7qfGH3gwktgXiwJ1BD026TjfFK4P0k2gY2vZG39b9bOxnfn3R+MDFDJwDpIA6qZJ/g/
/KORwSXlQFmvvlzMPHqqTZT2DJMcPZWcjmLJt25t7wTyhTVr2OO8J85PHreesGru2Q+JK89m2V3l
SbKpBzdo145D8fomxtf7yDUaSr2h34Za0Vx1SHA0RfOW/jCyEoGuEOYQHR2wwRynhU5pMAHkfUtO
c5P3CVvPojKZSuz7MVUuMbrPPQuE/VSY6yoidFlP5cM8a0+lVTyaiPEr3UAN1BuUbW2+RLF7EI65
pkz7c8Om2EoLNjCJflclBokm7ckY2mIdQUJaBZ3ymzYpinXxbYbOTNuO2AbSCddGg0/PMqZLx/62
zpCprcHs1xRYfKnHfFl3OuZpb3I3od5RxltGYptSKsCZqMn5apwg+UZjeBQ9F9oUPUmwQekdHwiP
4w95xKLOGI7NUD1HuveqSYeiuMy8TSlE66z8KY1BpjfJ8tixVRx6UV2LYESlLL8ZusDkFt95zC2k
FfJTFeZXIp+f0rY/auVADx9mCF2bQQKbZk893jCsNC3tViZg3rrVKlKCtk9Bq7EODLxxFgayiwEc
ApRAjRGyG7NVVI5+p+qVygS7f86LeeOm6eIXU8UkpTufozk8FKaYd9Bh9FU74dl3DbQyc0/Y9BJk
NHOYjGZ0BDR1RZDV7vNdZ2W8yylAvjK7xm9b69xNZGrNkug0A91W6sFHygYyzSZtJUlI8955D+0y
/R5gLTMPGzin2RixG49M7V2HMe03AwFX6Le0i3tfaWlxzwR+ho2rt/3W6CP7lI0m27GiuY9aQgVG
l5dHYYTsMB0vWS9Nr07MhY0N28FscEDS5IL4GmW3Gc//NRdi5Dx5pdXtE9EglBfjaRwIe4ZRq6+7
1hC46IzkVBUlxgJEqE1kMRYHQ0K2e6L32WRZxRpE6NfVZBq3saGcESTkPFnhvAwPOes83nrGO4Y6
a009THwBL8ZWnAKE2YXO3cGdBpSRsQ4oPua23BpDTDiNEi2vSzdhxO8zyebsIpnW4yn/oSv+rdfu
r6Qp6OnA2JHIoI3+YnaqzInOLM0Tlyx/TOUXi+T1/2dB/osv4eHz4qbFGUnh9y/mybkKp5Zsr7yQ
Lu7Tm7l6KLzT/9TR72E54x+v4+odxZ70/c8XcvX3fntNAfcxdQfpRjnBlQj602tK/2R6lvnj9aVw
E7/dx03nE6RJAfr/P2UoPBf/fUthsuOVxh1ecpfGH/cvxFFk1V/v4xg+MZHjB4QGrZ6QP76lkkZL
DYdKzUuuLzI4R/Dp3iahEy21wLuFNyUejcPS1/abHUkuk55W1GAmJm18bRanffIiWd57XmwtfmL2
Iw3JhdM9t2YvcK5gf9vYEag6ieoxKfljUkJIpiQRY7JvXLfY9aG49EozyWaVUX43lJiCtdpuXS5/
CC2GUlyM79oLIsw0BBS5NQd8zQT8lU5DFIjQvz6/p0rDqZWaQ0xG9Uij8MxK62FNohqgUagKllhW
713JsIFEjURU5fadRDLKY1usU5NcRjBdIxqEaypY32tkJuot32DZozspBapQWhS0oWXnKn2KFBnZ
DCSrBOlqQMIykLJSu8hOOeIWiXuMSoHhrmWLNCYbsAz5WLl+hSw21NVjLZfqbLJsW1ECILiR4a5q
8rldUVxH85zS2DoAHv5UhNmp4DK8IMSBvh38VrCN7fXm69I284YyWubYtt9nbbLTEfQE/p7KcRIs
NJ4vleaHfXOLeYLaJLXIY6hFIxxcax8X/Cc5TChsXvlUICRi5Lh1ZbR2q+yzSKMHWymOXZfIU4AI
GVfabaxUyUHpk4FSKsPePoWkRP0yk3eREjMb6qNwoSNDF8cFubNSumeqFNCiQJXCp5awS5yOhaop
1kfI8mWxy5SCash+8TtE1R5xNVEqq630Vrw+G7vqlNQw+prSZCPEWalU2l7ptc536baRV53ScgnD
TVxC+ttF6byWGV0XSvkFu4gjEjG4mZOPQKnDdsTS2UIwpoHxGfLli8MSyWAgyXLI85P6NvThTpsp
ZwmWS4YEzRV86wU3PKwlbWH9KfPSm2W2oUyiXRdKxW4mClilUrZ1JO7O5rETiN4li1ZXqeCR5j5r
Dh7OTinkImEZrzXxNkU8t6r8YiKmS8++GVpcdJ3S2UNHbmGOv1EvuI4s4zFXiryNNF8h0c/xaPL+
ZzTxCDwNNcMjcr6bOHgGpnNj918N5P4W2R9MzSlRPgBdOQK6zOPyq1wCIIu+ZMo3QPsCst+U9esK
UwH/eHvVjdFLrfwGQs8vBgYEVs/bGkOCpgW+qxwKjvIq5JgWuh/uBcZO5WdAym/Q8/A4aDoBc035
HqzvDgjlhaC+4B0AFFsebBKiDV4y5ZuAgwbQCyuF5y6nDGtFL1J8gGzL7PydafKwWHxRrBgJO7Us
8K6oVUYM1HcSywagnXQbY+LolZsD0bHYzoiL0lBVSVg+ZqwfXt+Zx1g0xW2rWrIP0yBUnK0YVrlh
LpQL1eQLE/cZR0yGRTUXLG3IdoEmgXmAWZL8UlHCl56kcTPN8oCLXVxHfLB8fufWpXCYTKwBeDcu
v+l5qYvwroE1eUxkYu06fgSbMdOyvXCgxiB5ONQfsBHTV4PdRftOYw3BJoMvPVe6wAdBWcb/XtPf
X9Nqifz3V8kffTur9+bjrxt3/viu1g2H4LrahuM+x+T0+5USJ5PDzRH3hCEBxv93eW5anwQhRDbr
/yFH/bQ8N1W5o83mzXQkN1Lazv7Fy/qPwQwFoVaUeoMlPXdbZn2+u5+d8WYktLGbc3kd5W9Lez1N
rz/9WG5+XE1/TrTLPzf6sOkn0c/Vlz5dy3L4R/78FfqglV1gTf11v1gbw6i+zZW8zoLkzmq6b1zU
1g3tp+tcsnYSWnEFM3bf1Mmmd2jtQtIqd+Vo7gqn2Wut/pD0MDfa6otGnp1A66m3oKW0XTquFngV
YhBWCuW2q81LmLfYHJWdM+SHyEFR5zMa/rzwItStq4mrxbfR0mnXgjcP8TZ21sAosi9kxXErLAKD
AutoyHeh9pLQ8gEyQ36m9jvfdsIJfQnX9ijYL2LJdy+4TLVN5jYvXgOxkO0ByqGU400yjWJlGmW3
FQ2DytwUR+6Bb9g3TgTcOB3y+TRywu5hauxh0i5rWqgfAivbmSC83Cg0wfsVb5o+0g8nJ2rOtUvH
BhtsybJse2wQIS8wJ6F7W6cCpPbeUl3bF1V/6Cq9BLcz304pqdyFutZwadZsgA+147wHglEAMzwx
em3dp/F71waoqmqza7l7Ohwv2sJfL0YspcZrm4acc84emOdJFgCDGmM4Z5xuNtftpqr39kzrRim9
pwSHMX7e7KYJuAK2S3TsYv21qiGNzyxEpSYfyIqDFlxM9tGLvI/Ngib0Fp5Y78ZXc1Yj/SWWxQvE
3ul13K7o/nzrpbcZdeCp8AtWbGGHLYLPYUKf9OTwLEtQOJF1bbf2a9stMFAYGHKcE32Q7xw5nKOx
uSpRJMIpeY4G9iG5N+5Jw58I9N/boiQMkmTPRtE+icAhXdhvy8Y+uFg+tKl5g90IWKjzdprZvpb8
4zHRg0hC4UkZRCml8ZvAWpvpdKqI8jJihBXrcZA5HanblXQYZWznjU8Bdv3kNQwC5lW2Jlut73ls
6m+AVPYuirs0qzfliNY0/b7FBI04naxZ4fi6lX0saXCb5vSJcIc/USaQ7kSIPVtqDlUgoJKrPvLD
GPianrN8FTmQR5CLqLGOdXantjjEsY2BoBLD2rLvE0++9FVLJtdgdsgq9elJIAOJ5Kj1+Ibx9lCZ
UsN00IR1N7nMw/3cZ0e4NfSc22a78TIWGQYM983Y2tdhZ9ibGEsI+Dxm3DpwPxqvGzYRu2wcwRWF
K+u8Gdi95LNGBwRJ4vh6amL65oj9rT1+FHCqqtDn3pDiGCyjtSR/QrGfpm+6BQW+6IL0rgR01VH7
ox/hQ6kcOc6Fujl23XSpZNVe4TGTK4gQTBZG3e6h9SWbMO5PNo2NqzatyEvDowymhYauycBxLLNq
U3Z1iWIUZxcHFYHZgPJ5CqtCPwiqz9YyPzWB+e6k9Z7z7ZxEIvc98j5rKEGnIIWrIzJhrVLbmph+
yvyexZbGR9UJsuc+Le7GARsPyiVxaeZjA4dYItemI/p1WRVHAgwciIJv2hlvi56W6gozGGfUIaxh
gtHojYGIub47sYajb4ekQKY/p1xIzF4/jMiWu2JK36AiWWzLVegmsI+iI10eyNj5qEYNvt2CorGS
rL8eUpGzl4rNnelwwYA/Ba/KXdLNEsfNeXHTa9Oo9qnX3oraJqnTtqsJSx0lXdaaI+/K4PK1CU27
ucrm4dHWqgcqdP0ewFq2bhtYEPPY5R5nTn8Ydbt8K2RHdXWskVyFmDb3YMz4cuRc8VRc6CLDAzCn
zrCnUBL4kATqx9EfPQc1X8Hos4cCmjmKpO4d+rlBTEnC64LAsp9xK0Y/ASEiS+fBqkuyqDLBj5Ab
LcqFDIKtldYPdjA/uIW1vCxBETPyAYW2uBaunHHadpjldpU+FDuwIuRC+IsrFvH9CwYTrHzuHC8+
RVR0J8mo28uh4Fc8VluTWXs95+WrPVSQxePt5MybvlXAN+eQ1vOjHiWbgbbtVVlFj31mPLhAoiBy
TAN+8qRZl0GGT4IiFYQ1/RVopLk2J1m/9HYl1lXJqJdGPOiYo9hIBuaLMXndfWBY05ZSKI8KFn3e
/PPr+ZdFjkp6u7Zg1PDwuOKpZpHw88vZyHPbdMOkuO6galkT6Vd7vB2bdvvPX8b466/DXt1Sodc/
DwGds9CFGRXXOVCI1jYeOZVu2Nu9cVw2q3HGdAXxaz9MFTu8dN8a0QmUCBfM4shJdbIArydcIaOg
v7NrfWOCiOy9DtNSANHSRiTmIyAXMDB6yGrl97nuLwaYv/zOSQ46atsOGfmXVZeV92XceWlxPUK8
CecHPSEiXf5Ydv3tyu477fi/e33WJZ7jsSxRHgZ+Rjzof/w9tLSsURbaD9cVS0oi9/IKu6Fc6UHN
e2MYrE2gDS8a7XG3BRSPmQjF6I6S0BAc/MAkUpTk20hDpOwj07sveCv15XBN7jHjU4JL06JcQ3kd
rmMtPkyBxc/c4HNj5yyOYTMud5bI3tMugwgfxrtlxFbeCtg7bH9JhZuftcbYqqYe+I21vZopOPLL
Gs03ajA/Q3fBb2YD7zC+Ig+/T46ynLKExhp1nhcH3oMza3tdjMlZj6ocPy/Zm1DAiYi8hAq7OHwK
epE/1KPF+0PQjZZX1rblcr63BfH0klecUJ2JiZNuKt24WDoRyGlBNhNmdgp03HRbvM1XnIuvrobT
0RnFfk7kawZdFJEd1bfCSm+CkIYZxkuMj9naCTE/Tlq+bzogEbmYDlzM39PYiD7T5bbT7TpfO1l0
Nsolw4xcb4FPkJijLiy37Qz2Dhkce5mOtdP+KBL528dB/OXzwAcSyAOFmIK93B+fhwAPKKwYi/om
Ybyb9Litl2rIrm122ivO0zcaxCippJNc2BPNfxk+aDM781Nhjx1BV2FXdcYzSIujcbZK98WURbRt
c6ve9r1OxMyCGRHGbPIHd3Chw8h8b/BSX4/0aa/dRmMe4SDS87LA7lHfhzneNhHhB1xIiK06iG5I
Tls7Xz43pf3uGZZFshUgaZMbj7YxMzvTq2R2Yo0iXPuNBUW2Ge0XbCn0dxpfbGdK8UhzDHgZOcjp
IfCSkzM0fl2a95hpeELQqWfj3hqGc5pE93XMOs3xdvbcvaBqyBVzo76hMJlZsB5ANWPecJWLAdLb
mr4p3hy29q7xTPiVZ74KU3sRERUddbeYm8ihT2FhMaRN5UbIZqfryZVHmopFP4ybYS1TiAauOx4d
5BQiETB26bfss+7BpPPKcyfgzfM78vDn2mzeC4e428z3CaMnBbEP+/7kFPZ2LOU6wi7oxwW6jhff
AnJMr2Z32ZTtvLEz8q0VA01ph9xL+DAOmncLxucbrH8Vg6MZoU+2HXRxn/L5tRF2vhD2ycZKF5vI
fa6A6i3DBQseE2raRyciEhvSGmCyOhVMvbGwbIQR6kOqHXPe4mhbmCkyutXZP+D4ZGUp10Lw1syC
cdvxei+anA0ghFDMxNqOfurjkpBS87B+jyIc/Vbn0F2Q2xJaKvA63gSu2IcF6KGxPhWuxdTbZdol
q0aUksw5yHA8IrXUbIUwpeDZEP6oI4xX+AxabgmZzYI335S9U/jBeGNbG4ek4+he59PWnrel3FMR
+VzpBDFz/WwTRNtMgTzBIYKMEATBsTcGx28tIXwHW8kOvOu6Ym7YlzMVqrPt7NGatJVTsqxEugR0
0Yj/59WmPom/ntw/fVKVbe4Pb9DIm3G+pP21zXt/aM95MfkTpYfBeEmbs+DG8s/vIy7+//j1frlO
G1FUcLvgZCjLr3RPDBPe6VMRvoxy/89fSIHz/vSVWDNLABWE5+X3CNRPkIqxpf8h0QdW12IG4R5P
rR8HxoNFo8hVVBLKTafhWFWw+Euhi7Nbuxag2lLjMgHZHmMovxmhfcPIdosKDK7S7J+0uLyUunOf
Mb5x6/FR4+6nsJ3WRYf1uYvfikQ+a7Ss34U9iVEritiSWf3RQrFksNjMgsYTRrxd0ZnOs2d499VC
VNC0Dr3ZXcWmcVxCGKiVdxnT/2PvPJbjRtMs+ioTs0cFvFnMBkikZxoa0WwQFEXBe4+nnwOpVU1l
sciomW1vOqK6SvoT7jffd++5xIKybGOx3MUyCZ4t2tXABPwp3adF5YaJt+kLmFbJgFNRS/HH4wFN
ev+xHKzqXvY97Me14n9yV3+vt/xc6N/e1IvmXKyrUMk8cziYw1MwfR3N7cdP7bO//2LhEIWEPTKU
m0No3pA4Y5fK3ccD/GU/xE7lzQX8QC28eStSPY3FWPbHgyafQvoL3CYxGJ2PB5nvwuVHhZLTxLKn
Y//T5x/xZpDBqLH2q1yFJWMefWn6lD3JXTgYnzwN+fd3/Ef5C56jJrHUotxgZ/r7QCMWevpDhXxg
G/PCora4TZbeQnBRFDn3dmbfb3Sn23+9RuT/ZXCfE3f8yhddr5XNxxcsz3W2yyt+M438+KFvrtjq
QotkeaaRZtktIDW6w027Ss/B0nItJ6mW0or7vCSj2Ubp6FqLonPVQ/by8a+YDZd/+RVvHu4lfRLX
XmLKRMYcHoaN7AIZW1onwz7Wqh0sVveas4cxvbIOwXJYg2ha33oLIhfXzHv2tMotGy+9HS+shbBv
19mqPgbA3Wx/8SW324PojCttY23wqK2ru3R58/FPJx7z459+sYMW5BofgRDyXtq5XSzr12JZ3EqL
0gEvuAgWoQtzcJuvTi97t91oDgf2aBvZ1jY6oLNyPFz19jfP+fLxr5p7tB/dUP1idQjDvKvwgo+H
YENCpjOt4WDeZvStyEKyUbvZlYMjZ2UeyrX8RCHN/Xj89z/Wf39HF7MNU40w1sU4HMQpd42+301C
fOhaMf9kUZpnlcu39+33ejHrmKGpdN2UjAf21LRAX8Rh3etfR3TNYkMpavnxVb3/qP+8qsuKspAy
+Wtl1B4CpKyjd1345//fABdnPmUgOkxPOUDF2k6OqANaxuLjET55MMb8Ib753IW0MDNj5EPLi0NN
e7eQH6bW/OSpfHafLia3WqJz2xlRcxjmp4Layhoi5/93HRcvWIsWtc3qdDz0ZJqH+iGNB1ANp48H
+eTtMuYt0ZubpXu+MFKcYzUAMq5aGTD55qgorUOH1olwIHU0Vj8e8t3no1kSaFRU95Z6MSS4IsUr
wqY9qOn3CgS7ElDkW308xruP580YFx9NghdGKAN1OGiRSv3+nKafVBU+G+BiSoSrMcAdL7uDyKRN
MZqk2k9u04/18aMP/+I9DkKaPl7Ce8zZwCZLbYvf94ojgrOtnMD1j+2ntLLZ3v/hXDNf9Zu3QaL+
JzVywBr1QGE4Y1YlT9tGyPws7adNZ58mrEgs3ZoLS8c2z4J93bjzqn56LE/KllM7Elt3bOx15gSr
z2Bq7y7kb6fCyzcnrHpR8vjopOO8kAt2vUrUTSY5drxSF/eZvcWtvfsufuVwVt2NO8Rxn8xe8jw9
ffRQLp57J9R6UFoje4kFNJ8FJkoZK+cuWVxbB32vrNrFo7z07IyK7bJaFSvTET6ZoT/7CcbFugc9
WSDSoGgOwi63B0zydvRNW4IV3rWvw7pw0z34+ZXw3X9UnGEVH/1F9Prx1/Xj4PXBXTAu3pMYnaVa
Z7ya1XJYljYm8XlXt4md224zbDbhvGk5AEi5h8i6SJfFyji1drVo3WDT28HTZ8DBWQT816fy789d
u7glpmDRG8qYUkpXXekrPVkMy2k57cOdZL/4G/Tljrkp1hT19oNj3LkY7HlEzSpe3oSLeZPwr83B
f1TgMrf+zxLv4rl5/q/XrAmb8fCcvv7Pf1+9Zt/ylzDL35HY8Qd/SezIrCXikQocnXlUOjPg48+2
vTrT7kyy3yUUdaDl/9TY4XnDV01T3UL5SWt+nrx+aezMP6jlKSJhtUDy/knLXtMvpkDgI3P4E0g7
TkYcxy75rEbS+CYxdMIRPyjOd6oqojq9en3g27GWYBtTxCUI6WU1zjkHYlhU1xa4krNsdAJGBAP/
yrUPFsvEHDsqi7aWqnsoWMb4ognQKnS8Oxh/R3UVlYRu0gbHcj7HSkL2UFeGKRJmXvXmivhpPDSF
YC0rSX7Iilh88cskdUqZMn4eGGQGtU0DxGBW/eT8twrh8zatm+qpwPwOKYHIjinotG2fGdsoqhS7
JzRPC5Cb162wauX2azrQZOvKClwqUUk2KTJwxMer0ee4kRqai7anO5iZSPunIlXKmg1L1TiSWY0e
HToU8NHc9G1ltGLXRGNny15VuBM0ZxKX6lNUA3/IxoaimKmNN5J0T4wGqSBsk8PSDxaI8c/R1GQ0
8aWrkWAhiGDhkbiflzrsl7pJN1ltCPo1O424EXMAmmz04TYz6AJqSjhs4HKJbq2VFJ2r2edmDmLO
PQPPzmMRjmpJMqHmW7D0aWM3obotwTPALcqH84TiapVxDD4PnXikpRSsrXjuTKIRwrs8TeGSTmRG
BqiSJTFEkD5fV16QUKAzEPUPA/IAUGxCRU0zwNFEVLd3Q1m+WHVRVIguL3a2yaquQ4eUh1tPF8yr
UO3BHzeWR8osfzi7ksrWO0tt8JgEtOWDTH/2K6rlfQ12C+PDYyw1vus1xXcUgikRtv4+8YATmNF4
TMC4OcGYfg8mbQHLtjmiMxmdFK2Mo1Zm7FgZJTOh0zdVVxpbEkYlBxfTTRDNK1aartSA/7EqOGKD
xuZYHXvZsumN9fyARm69kKZdL6tXnVYI21ExHIkiuHLStBo+VwX/TKSFqSmOjIBhUURJsyfzG5gh
L9qRyD385KVW7nQV/ZWQozOpIOziQGtXSpA8zcJyWqkSwoWh3vYkKtlJ55NMi53zEHtAZVLrmyzU
ez1Kz3lLSoygXNWFQWFdForDyFF0I+tEqQI0gXxAnyVFTE/7yPNc03xthGEXJlCrVWM/BrnlkqG2
KoGk6DDKuOYjFA7aIIhyOmGnSeE+xXGKw17zrjITaF2qFwrpSz74mMHflEGyqSL2XiUPyQyQ8fUh
5OYI9YEcm89+2/MF6uFx6PLZBIqOTmi61MGeSAMh2ViN5uIse04rYg5BuhPh9V03QqaWdIkgd0mM
jCN26Nh9GUcG4vagiDZGp+6sfnB6iYCvoAFeDATszkzEI3rLO70TTV5SK9dhblr61jOn70UpXWtT
uzFaknrS1NWbQXHEYNjRHnDocj0HICn0inI+ZA07Ivqlpodu5vI3K+YbThPltbHGa5WsoUVaFldj
OS2FWCXDS3GgboeOCqocvDh+VhFdg5e+ELR428/voxRHG3rUpykfjimhTEbEijvkayPNHSZS+v4a
G/BsOIzl6MiA6DOvXQhwPoJJWKHzXBuQntMiWuv1sBS0GeAuhy+6SUNMKNZCazlxgBqkyI8Znkk3
E/MVm1QwPa1/kptkEXb+eoAukubCvuvG5ZiEAMlke+S8VPKJEOHqUJteYCRyvCZ5rZLXnF7n0NCQ
MEVIDhgF+uxBA3lYT8pCUhkDQ4bqyUc2ozc19jkUx9Dahmt1sG6TaEJdlCToZ3piwVWUMp7FG+gJ
M+RkaVrp9xFYLjPcEiIoWT/mQjfJOvPrYINDZI225kGUGtSR5o2uFw9mUF/73Xhu02/ZWLyWokgU
BcZAQ5mxRVRbvHER+6obiKPjK8GZrttV3inX6ETxiRKBVIm22CPSFcW1YHVrsyYfKUhuIi3fN5p0
hyqZ+rxV27pWzK3OXS22Sz7FQ22ZS0mpt7i7GbB0Ub1QXs/qRV6i8EF7/tK3+QN/FQhUD/tQrRZ0
AgglJrjMGbP+uc5qbC7CLmnyzSQY5IjQiOiqmG4pi0RQeKUD9hS7im6s5Ka7R/Hw1JTknRfGBnot
yaUqOI+mWtPd2GBxpgOmEZ0WdQ99Jd7nVXSdE5vkqQNC0ZZ7Z7ns8dZGo/F2Giug1+csT3YFsPxO
aG+S0Fibg3f0lGmD5GHbeRJBc2hDsjZcpsl4KrwZjoc+oDfPUUViuzQ8FmwVAWW09JDMO6/Sz3VV
H7Nau24HhJ6mVN+0eDy6AiRlNSG51pJ9ovlbvDCi3cNqreaJasofxrgh+0hbFQXdYfxPkcKhrZ83
PRnIvuyuKsYtDvCdIKvBUfBw9pDEm9zUJJM6k9xsKxF4WN/jNopZeKJvkC/voiZFGQLx37aM5lHV
WNRVJDw5buVQ+qanOGqa8iGugo0oS0fmWxJgZ/US4dNEtfFdJkbsTKL0GGh1sbSU+DatmgSzWLyK
FekUxWh4Ygs3EiLAJfbftRfrMI+E1A0RqHWE4Rh+7xPJLS/iBI5WkJ0GH8yIN2yHbPxWCISn1NFz
g/e1YP3jC6jhnXaG27a+WwVC5oAZBQnYOmnCIjFY2boTzG903Jd1SH5lZyxDcXBxCjH/wCQibWBa
Dthqx4b2QqPdwtFlrSEoLEND0hBoLwS9sM1klXedxgSylErKN4nQXE24G+qqeGnNOQuCaG4vGa46
FVhkKrL8vdnSnn4ec97KLi/qFz92iPgydENFuGBZl4eNpq+qqg0z4SimQF1jO4cpBRzx40Hmo+yb
E9a/BkE+IirIAhX5ovgDj1jUNVUSjgOCL8Co7eOQf/dBohEo/PFI721451bAr5EuDtW5l4/S5DGS
bB4CFaWzIbnTtMmhELVPYa7/s6rWzwvja6L3hY4by+fvJQYZzqsJl8U/dcJT0+5K/yVLXv75FbFb
ZrPMMIp6SaT26ICL1lgEp06lhLVqx9FNMNynPgwwJNvNz6D0v1UUvPM+EPbJoQVPGIYc/aJOM7OB
5VFswlOI55/2sd36qyL+5Jou6k3zbfttkIsTd+0JjaZ7DBJhhGmq/YyI+PiufXYZ879/U/vpmgn3
Ame9EyxknaiPOL/14Cp/PMhcHrl4rX+7jIunX8RjXHRpHZ4GQbFBZ1nhidxTJrhHDV9OfZThP3w8
4nuXBZNblMFu0J5T5oLOm8uKQzJGs0gKT0Z5LkVkgMnG8L7/8zGQL+mqjsxIlsyLW+dpCgGVXRWd
UI24qb4wEN4ST/vxIO/dOvAsGB0Vifhc62KQvA8MIwyHiOfzmOn7gJNixGRgeTdRu1NhdvTe+eMR
53fq8mG9HfHiYREKQoiQNMIex4Da1fcKG6iPR7iocWq4ujXJUAmBwsum871eTD51rpK6PkjpKdrj
i96weF4hqHK1c3CtOfDylp/Xz957Id5e1cWQUOXToSm66NTppIZQ3ZaBycj5+uMre//eITuD3cOb
d9ngh1OnGw3RKCevhN4HZtpsPrl3892/fDpkAvC2WSjcMMH+/mIXtRxC3heik8HRdzRldptPIVAS
P4o+uZb37tjbkS4mOE7EeYUbKTpJ2mtgnjXvppw+md7eH0LToQIYfEnGxasWSnFnqpMfn7LsCB8C
batsy63+yVL33ifEy/bnKBePHnVv0Iw+o4TxC5BAlGBupaJobZ24OQnxKtE+eUZ/uSxZVA1oIiL+
T1gFs+/l7eQjWx5IOSNPTk23KqunXnfL6fofvmgXQ1BLeztE1vnc0IDQ8p6AWEmArhlpn9y2v7zL
P4aYcyRENjzU2X4fIhqGVEg4aZ3q5EWYNvj7PhngL68yA2Cc1fhOKLwRlvL7AEydaAozelvs89KW
MIhoE0ZsTK3XH/fqP1XZuSD+91XZ67B7rerwG3frZ7F28+1//lv64cSa/+CvqqykQniet2WmyFw8
u5t/FWXn8FCDQi3BYPwpS+T5/coZoVwLfQyvNPpm+NBvE0LxUvEoTVNEZvKzXvsPvFQ/lrd/T3eI
TtnIIeFlttN1QA2Xu6xAzjjwwY68qvKyLIy9kHDIBLusinWKz0GN4qPVykoMZNCTAGD27bSUxpFk
ZvxH2pHaSXJs81KAmzQIG03LlKsWCNSil+tsl5JdcjMqsOnxORT7LGzyl8Zv+q2c9vGNKvV4PPPI
ypxmMF5RQKrrXDW9JRlxc64UhdynQISyRcGNSIOqx6ViJatYlvrFlGTaV1yt0ndBCadrudbDllMx
aRfZiIBYNC3Iynq5GGRgkSCxUiek835K09a7ldnkXbeFkAQ3YqTFPt0uQyqnzVQEHppu6utw6SUj
82UGRF9LzaPDCEfaIvAfRJSUI7pzVUlmj4ysktWFN1E6OlB0iNxUC8voTogmdIVlFxuGM8h6iXS5
Uoh30DoWk7htlY3apY07QYhbEGFoz8dYE4XqgnzzYCF2laXtugKdJkxWHatHAIVftMSa0mMJTNQZ
w0xRwD0QX4eI2bAW+aReT1LdoaLtiHbLjegFgxBoJoLHpiuNmvgGrVvYXZOPJS1H0o4nBSeFavRX
qZWMmbD6z4zwk4TA5/v3M8JVnjWv1ev41wlhdhf8mhBAE9Kl4etmg/HTDPnnjCBLf+CfZEHQdV1j
SmAa+TUj6H9Y0OWp39CimSeRXz0a7Q/AP7g0OZjJpBj9sz4NmEPWhLfzwWypwMUBWwFShgRY6Pc1
Iy0SlYMrrNBUmbplIXoAb0Xj0TB9Nzfae7nR7+Lp7I0d+FrJlUvz3Db+nZdMkFFn73tBLaXMxitM
1r7wovTxXYotBLljFa3wEn7VG9orEEk2RRqtRT+DadPmdH4qjyT6SHfgzjwJWVd8lRqizhUv6d0I
0xbZOxERG5W+Jt99m/WcOyMluE8pxmWj9ThRsEsKswJAWj6PUXy2AuW50qWHoRtlh6LtFSzZHKJw
jG+5jGDM0wXRkMvcj6L5FJL6sMsKpMhSr+kLsYju4jZ5Ekdj2qgpVVcgeDROpvVUyk9dnR6sDA2U
btxY1SpGN1paxNlpUX/XBuGjGQrrXszv60rwt4ZcLKxaddKsO0gRXVsUIcMYHmZ3fzliRPDC4FuO
f9tvMuJY9P5gzUb2PJQ3ar7ks8U9R7VXvvFJp6Oo3cSPpRyUNj9xVdcTFXLscTDb0LdrZH/HkUy5
TfXsXKvrdaczs3o4USNP2KMN6td5A6PVC1u3zyOK4iizRUr3qh5AXkqSdZkn3yqKQYtGrjHoV+Kq
giwLia49jaYFIpmSruhhQQoyytohnZ8kY7yEaqzmT5w2q6/iNIbEcnKOMqdFThlr0D1rzvPZU3BD
ZG0d0kJd6BEEQ9JjMJICMCbs0NAmdNgqRfJE1MjSmC3yPoVvR+87iXwAMjMTo0bMGzbM5EbByxYC
b2tSslAa45lmConzwHTampo0UKK5FXjuDTxhhsQBuFRexlnSrZbRdSalER6Oiug/5U7Db1umSeWy
dTb3pSBtEjO/KqLhCWbUl6CuvxalCRinH73FpOvkNMFdBAEM9zqOmk03NvmiI+W5DXElTqZhscyk
Z+zDihN3wzqVmnyJvRZH2qj3dpwDiURcD3niO89jB/D3qFYBoAxxhZmFaj1l/6Kj0TYmyk2EixbL
8K6R+qt8kmn9N9kWIvMei8NGTgn4TTDQ4oX4GtX+xgr8la7Kia2bxBjU4U3RCneUmTZilm9bAgpz
Xd/Eon8ERPCU1cmdHpfc1Knfqwpowja/ajvgTdSqzwlE5cELiR3QyXbp14WVb6R5Qz+qa8rvW1+l
VVGNyq5I+l1fiycxUJNli1fX85uH3giwLqrTMqyaY9FibMFOs60s+VoLi10cdmtEsi1XmLabqCOV
Vayu/MKgCdHRoBxBL/jyTZ3X9z5cO2+IrtoAT4I/Xmc4CdEDBfdxEizZLN/7sbHS/Hyd6qG5IcVo
pXc9+QdGc6XA/YP+rJxVeibsf86p0GFqFUsnaKtNZ4kP4kA8oykmycKS22u8uPu2AtZE5G9gs2N+
AJGwNtrOKcZmIQ8TmRc0FpVEf5pMa9ULvQu+eZmE3WMG2qnWxO9TjWANlp47wXEIRbZuwJuFLL2W
6fI7idkn8tLMNea+QVG2RGURTq0nO8tv96oVb4amRXUoWbsgCI5ql+w8f4TGn/tXvUesVmhlX7sQ
lqNQJVikrFWZW4eKoF5AEMMyLUUJM6v0JZTa/SCp90osAPKKbqb5EcLd+VpIA1+j74J82km+cD+I
3VGRpIMYk8CjG8Rljf2zDAbeCQufplRZYDvhWVSStsxa7FWlmT4VIF5HKyUaIqwAL0erOCv6Ra1L
X+g0bcu6s4MARx4IRPjpkiOrt0grYYtPX6PEuJm0xt9nWllsRB/9Y5pdCTOSzStxrU/ak1ToK0P2
bFWBRxI15FP31SCvocTyLfuvMaRDInhzcTca4x5ikLyUJAxXIt5Qo8QbxktRwNKh/aX74rpO24e6
D2/KbAKI6d96Vb0Gru7bQ29+wQYJSDW/9cfkvikDpDXqKZ5dvGLnyNHMasctran5sW/821Cc6oWp
d2uBuNRmMoHE6ucpkdaVb3FrpKNQVgi6aDSxT7yJkxxrkpTNhiQg+Z3UnwtFv6rRZupuUhMO4LZ9
GX7R0rBh8teNnZzRE07NZDYF6WBgaXqHJl7VeNqXqBvAPXJJ41isq2FcGX5mYUHUTBqzXeZOQkiy
cYcB3e/Aq3Rt+rUDHanq0LxZYeh9Q1BaFHh4B3rwJGasvYBQqCFpWGI6q9tiJGCbKozfs6pGw0Cu
WjwSUqtElWTrBFS4WpLcd7kvL8RRr2hQgRPBUmUIdhrp5KSm/p5WanHMCO16iCQDQA4IboEQi147
13020dGZ0DT0iUrMYEcElFv0mB8mSdgjm9gSf3ySzXipDpFryNOXtPSuffzRbSkj+VAyR05MHD5S
+eD1WjT3TdxKwuTbxcOqxe3lKk3ztYtaR4rNR9VTrrqeHj5YFPLAMQeBuFTqWxp448I0gmdm1i+i
Uq0RnRxFbXj1ImUHk0Aj1oUWT6jkTi0oD+Qm7IwwvfLCRHF0I8XcTe+ooPHVskRX4FUXeuUdI1HD
cJRfN3UMUzSdNoWv77UhXEsVyetxscGxj3tRjBehAZdPj5Sz1ac3DVjDLh/HRZpltxlxuk6K2UMM
+41ImIWlSg5boZU8lJvGw78fBxvfKHcQE+51VdklmbStFFZaxSQ6vnjxosmNYv88eOwURvqQkxe4
HFkdrWxe08DaC1nm1Lx0w9DuWit5IcASvK6VbXIxvK7kyNXlECJBNNpKSpjZIN7UMWk2TSYIzjhT
VA3fJbt56XWYHGcEX2vVyyaS1mkrP1BaIhxEGpaagJ4DmgtbixLYATk2YxI/JKhdyQPzOfvIrhVT
fYJrSkJ19MWyvJViTiexw1ITN9Lt2EtLJSrucwlvvZICvhe68JtX5Z0zRH3rNoFyAHxx8HzlicAP
nPtRgdvPAOAbbqxQtJa+7+26eHotRu3QFJAwmN+bvS7zsvh5r+HPMlDIjYXkeqNuHnMp32Zq65L/
roNoFM+JKuyTBkKf4CvLukaA4mmBZFc1zahg1B+1HpWHxUxDz27YD4NJq73P7wdtOheC/ijLkUeK
TPkgcpq2Rb1dxnWX0GDjqk1PWlvz1FMiCMAXGqz9KiH4oYivCjQZsS9MR6gGu4KkjoVMs35RVun3
TsK7VI4l7B7+Cdn1QuowNYZDsYL1vCFgBANr0+6nal61NfVhmN2mkQjNoBrom5ejepDi8ABPycFq
HmyMYKr3Bb1YoGIKXqHE3/aVd7bq5BF9jbqeP3cdXiaaG1ZzanrKoxlAmirUs9QP4d5SMvx7xcYv
xFuZqLsp18S5HLDyxXwhpvG+9MVVa6gVxKv0O4lF2HgVGfe9eRs3+TYkQDDucKYk/QzNbh5Gqby2
hnIGgRqHSPIPKZiuxFDHHUDDL2ViPaqDck2/K99pSpS5LYjGpdyoj1NqbSxcWg7MyGyVdfzFQikt
cymE9ZWR3hMl8JZqtF0EZ6qpqNwMUiRzjKgqAdp/Mqpy5MSKLriyFHpwh9+c+E4/j0oftDGxRVs6
dBxU2BJnKWquvx+g5FAUB1nOwmNUUGrLruppoJpy8/EgF5W9fw2iS8TGYiHjKPn7ILE3VIpQ1yE2
/o2QXYkCZG/1tulvPx7mokL5cxhjdtfQJjOgt/8+jEfthVOAyMZd/t7nd4LyScv3nb8f0A40RqCM
3K7Le1VbIwFdepocs54XbW16z//49xOuLHOHuFGzkvH33+8bmTcpWpkeTc4d2kn7F/Dxb1uUFz3e
v9yfi2et6rEUCEylR3IKhdSJoZ6B5MFE/kpa2seX8s5QeBpJFDfpWwM+uHgUiemLUz/l8REvKv33
RrQxpfsqqH8HW+PHY80/+981gNnwN/OP/v1YqDa8rX2LUph2hp4kx0JxyAPVOHc1C+bUsVt+PNB7
F/V2oIuLyozIom39cyDIGRmJXsGSdWReiotP3rX5R19elDV3401WR0W+dKspWibnLLzZsVaWXvLc
Da7mvXx8Oe+9zm+GuHzdplpjr6SJ2TEznyPvURX+D6/zTFA2YBXIkvajdvOm5xqVidaogpwdI2ZA
hfzd8f8weSH1FWFqKXw2BL3//uSJpmJ/r0v5cTKee+PQIj8Rm0/mrvceOi+xodFxnZvv1Ljevl3k
BRcZjvL0iKIJbSV4P0k7d9AAigUU5Y+fyDtjUSenjCqR90F792KeDDyTIlukZcdgPlO74SzudI2S
su1Kvv4x1H+aIDLTw9+XPA+v3fM33uPLDsj8p94UPCme8l6pBK4jFeAp/WqBUPCUTVFE4YHwXDVm
TcmvgieBK7JOw4THNyPoJN7FXzVPottFDYc3Qexo2v9ZyRME3W8zA4ZanOIGAngmVequ/IrfX0iv
DQtFI4XgGGYnZTQaR/Y4ew+NdTdMMjEfo1zalpztzSm5Nkf161gkgmMQ1QUjmpwMgnvhPzbWto6t
oyIydw2C/tUK4quktb4AM7pT+uw74q1lKeiEtiDKSIq0sM1alx2pn1ainO7RiqFS8zoLkTR7XbFE
rMhiQEkw/qL7+gRuQUd6hvRPxrxk57L2AMvriz9OX8k1pMwXW+u+bO/isDmRzYGVGlw/zdMb3G13
OamHB69rtnnfEYgn1DvJ5NA0AMNOh5xrnghfUezSbDetiX1XJyqej2aZBcJ9S2gFWlsbqcGBRWg5
qQETtWF4rpfVKJr6dkFu3LI00cWTVQbyTfpGuNmxjiUdXEc53kyA6MLOA51d1M5UDpBIIyV0AMaA
ss7AdliC9phOMSnRvWcQYS0mW2hP1qLspXohDN5qMPJoYfZzpdPSFtZISkRvTbYitTc6+lVOKNqX
qqQOB1CsUtmmt34D9UQj2hH2F3XSO6nv2eihly8DKGGNGJDlgiyHWqwfAVkJ/IQuTk4NsuzCPad9
N67HlZgM66nvdLdF3GtHPr5hUe0cY6JL5KEAVY2im6Xhr0WkkUUIaAWxz9MEZs9GusRxw2vvGrIn
QrSxHrlWapIDWa03Y9vuhopYdz3K1tDrBTeIi5nA1V1ZItHDMaW1IBDvR1XfpgW1zlQbn0tJK+/U
FE1rql5LEFn7ot8AdlmRiOGtQ81TbCH01ihlcscvlR3ZcZJtCUhCR4G8xyk1vwgdWmm9FJa9JeOw
6EwIXJgDvH4zWaBZxLzQbdXPIP4SbwGWdxXSM7NFYzplsrdUWvSFAvqBqmq/TNQFEk3+nivcMy/i
3GNSiPfiO6Sqj4SnnIYgDp2hMddxNj3UFWw5MQ/WlPMMJ6GelQ3NNm0N3uZoeugQY3PGf26IjgE0
tLMiUChh8agTM7TwFAp1MRkXxGQmt61a3QUss3bRglgTDTgJRK4Xk1SABnwsLY7BVatfVYVxPQXq
SlSI9kYMvyKgx0nb9kkz/WuyAZaGlB0RCB6Hgu5iqU/ynlhoGMV6tp/i7iAr/jLOvsXAZlrOF27d
e6s87Oe4QZXuGsFCIRR1U/T4fwjsYewaL2w9OJ4uP6ceSdOaGDeOWBPxnvi0D7vxVp/wpQx5YthK
ZdyClN4hdn2czOAqsYazIgsrSSThziqtb14qrlPL5DUis4WqDi+gN+ujB9eL5FeslwTQddItr/GD
0RDqI3n5oQkR2VrKN4u4UTcS+lPuUYBKa0l1PF82gCJCBEv0gGJ8Q3VHI1LvNMbWdQwoeD4Ylxuv
C0Q3HSXgzrr1dfCa5zgpT54EQckzNG9R96IHDa+03CrSdoVZq6dJMcEK5kF29uBu3BSZ9OKNikz9
Y7qb8nyvTP5XiZpFm7Tjmmaw4DaxfAgaqH91EdRIyikogQh+zQtjAp8Z0OWNi9l2UFp20VjcATS6
zEVJ5XhqtZ8kY9fI0jZspQ2YjeuKuhcibWWjT+oB/94uT7nKMC4XRROI1KIEdYEwZREFaUs9WP25
J//Pkq+yDP/9kn+TJ8/vWdHmP/Xnki8Rl0YFWaf0C0d13uT9ueTLf6hQFSHBss0k3Jp/9WvJN/+Y
/1ONpij7Mk7QCI1+LfnmH2wBDHFuScpzD/QfEWQl83fJ0o81n7YpGiIorxzWZ+nF202oaqZkpLby
eDQbvzoZ0Zheh1JhPIDulrdjH8ePZEoaS7PpxKt+LDy86F1Avns3fTGsvrkJxDxZTRPtGd3KPdcQ
msrNQhIo+agPSRJYV50ieXtNs6qzMjT8+Q55yKKdmhldVQxrwbS2gzyVZM7C66N2E7+Enpitoqz3
qLYSKFwV9fCUBoG/zcu5SyY00ULOxNGuTbOgBzV+sWQaGonyPHqpsW11yVw2YOp3WYw3p8rxubCH
8UinFI8xDR67DWMMTDrY+iAkEXomU+YWGRm2iF0McF0UUT6TevXcZOmCLGf/uxEVj8Hge9QVOyeM
i22Ug+4coizeyJNFdgc96ZMv+Q9iPPJRKtVSLbKzloO7C8VGWDW6P20nv1W2rGeGmyjJjrDsehM2
qrUQCbIlRTFT3e5/2TuP7TaSbIv+Sv9AaqWJdFN4S9BT4iQXKVHpvYvMr387qFaXpKqufprXsIoC
QYJAxDX7nENNg2saF1Jsh7i95tVIqNJwMzdJsagy8HccKmdikmymnR4Bn6F/lVhcWcPEq6P1WnQb
j0S55LFhXFq0f6vJHSsURu2hN5NnsBaJEgdFnOk5yRrvN7LR6rlbcmhFa200mlWmkTcaOMYuERoF
UhMupY3GrEtRVcx99UJfl5xlJ960tNRX8K4l0apoY8aCyykJ7xzLvcldrG9TKbfmkD2aydj5bHZQ
GTRmdhlq47o0GT+HLRegFe8rjUxgk7qKkeI6qHgex0kRAA0iPLetjSKkyI+tZbzZdtljKzfeDVHK
qUkomroNxSLP9Ysb+rsiL7eDZZ8S6Z8rhDOR0bODykLyUwLnegqSzRzGl3yO0UgijfLZZyMHmc72
VK2qVHvwLJt5vBRHTGT5Sh8852bzao1GvfIj7zOl15b77gGzc5rzoGJtW7WsagssZa/q1CY+l5K/
/yxI0VziacQ2k4ztE9mmFZ8KQtVOBvhLjzFaVh4qHxLAJRjsFDJ33v/Tf31DTmiX/vthfMGsLXz7
i/6LR30/jOHMhEHcE2eqJ76lWn4/jA3vAxW5jZm349GQKzPN74ex9QGkxLFB/T0PHORnBA0yDZdN
h2+rMqfM39EGc4L/0oDhr6kQN59xogmF7f0yEajJeYxHVw/OjW8QZjlnqb80ej84arLWj4XbkgSo
6VOPbWx0iIPpkxcaOCYAOZFybjCIt0d3R1RZPqxrC188vaqrtcS7mBADYlgfScYAmkIYDUAFWoBR
6TtWxZHRvIgsiN86AvGajangK7sdSvKHSkSqkvzuPk7qdZe1pnI0EsOmbhKUgaQz+ws/5SgOep+W
La6w4kkwm0Rk3HzVvFBSYPFBs+OApahJRecZrPJU/KFmJf4GVSZrmIloxqhB9cQWsZrLI2vk8zyP
N4Y14yTqK472JMpsb4TRXjKpXtoOhrTszog3bwdiZ1sRnSqB63SlXScUYLdV4B3JA6WzCOkJMesw
TkVbNktTG9P15JAC3FQaSZp1f5Fde9FSfMRG1vm4Y9LKlSUZg6Hr+NSJHXk/sTU1X1Oru4sz/Q4a
MccwkVP0WqvT+WyJlL1ztQlJE/9YxrRFnbckrzRHH0Qug1VGX92W4CSzYoVklrhM+z2tm5XfaY49
biqPUt3FfXPVNPmWNHR/V6EC50jECXh2nZVpFNFlCIkmiSuiRiybvZPUylsHW3Gf8AtSHDHH9DH7
rUwDLkQ7G7O1AQiMSTCtxEPr49xAE8LGDn9cHYvQBV33UoIpQAa61SdSRJXtssb6iKxJEgdbLHu3
P3wU/z+7AD5wClPHpZ7pB9Pbn6uMRI9GHXfi5MrEQ3RjZaP5Ek28TiOZDP/WG/1TjCoC/7+ff3cv
nxH5Mn36C28E9cjvZyCDJp0zDtQaxco31vb7GciXsOFmIvnvr/Co72cgBgiWg9ufImOhbl0O1R8K
UnKCSadgr+B7TK9+5ww0qV9/HE+/F6SqHIXS1pGA/onVtpKhaAGexovMPGWjGfN+GfBmrhI1Y5Ad
vXfaElxpi+HTmORHikN/6+iei1F2HC8JUcfJrPAMTBKctaZsLfMJD09Hj7Wj3s0vdmDO+L92b6NT
tyi3kbFXWXBn9ZpzLgYOpmmw6k0lh/qKndM6CaPHLhrXI6ncm9j3DnlnHkRjfE3l9DhG+cEV6aXO
YAIMc+fHEbZkCeGpcW5VLMwNKonJwi1EF0QS+TjnCtt5S1zxMDraczpob+OgBK/BxCdyZDxBps8X
wg7wgtC1qw7kdkU8ybQY07FYkJv9OkVghciQDKy0B+wZMJBY9VP5GOXljemEKNBh6dxJkGbb4+Ie
NsQpncN4j+L8tm4dyJ3gbVYoUnHtGEArVpPizO1sZvz189paBGbwOSrs+8EOCCJPvk6h6rEz88bD
mAF8DchvCNuHUqNOnnqkk30WZRvZZXJR+6RANM50l4cdruMuppatpydLi2z3tV70LptSMS+pTYl/
CxJ/TW5ouxJduEsjZhi5hrlNrxEtYWQmuDIzomQSHEyxjfF9iUC/qRVhwOhumbJ/Pcxac1u2ku0q
m6dtLwE3WNisGquLgT4Se9cH/pQ+FqHmhmeznfOnpLW5rjJOa16+YV5KCxZtkDFRvrb3tWUhLaPh
EnXkE1o5ETnnLuha/7lB7folz0pXw98483exMLApB/e5uDrWusS5st83p2JTibE857MZP3jQNQ0O
GzQXxDoQEwc7WOE9IRITJ/+eK3by7v1i3Fs5mt4m6NllG9mOdJgHrSeftKeXxy11LrbDSGpMLvJ6
4ZJif2kLxoE6r6XVDmcJE3nPOwCfXPIMl6xF5HUxkWjo9WN1H9bDa8uK4+im5sCILXqrDOJ0ZzHR
lPjGleaVxOySL8lLb+PB6nf9rumDZmfCY93VTk21XrrFfWqCflVGHC0HUd2XXrfqOgejUFo45pr2
TjoFEuxAA+dTzVVXTvBCtFuaRbxHrlowO4a2YpvibaY4cA7dpL9QQS/raHxkjEw+omrmCJVNVqHw
QRal0Paa5o/PaTKOUGh1sIq9rtjKqkw/p9yAuwx4aIEJ/iEdI7kbVDNJzIMyqJ9pUTFeaW5G1XYS
wkFA4TBdtcDhDK1YqTFR5ZOZDzgL6Z5cdWRHnDVvxiDFSMHq8FFf/1OPv9fjKm/m7+6j4l+LN6Vk
+HNNrh75n/tIZ0DiIKNFcsi3/WlAYnwgdxVlJVA3Kwmfq+L7fQQEzsqD9BvcEn7GwJ0P0OEs/TgD
yW1FjPU71xF+or9eR/hf4yPnEfLD5gXHnp8rl7afbHtIPe3KtfNkmZX7IQ54T2YOvIaCWlN3ItwG
zJXR2g23kL8cFAI7wsKOCoplvL6fFSZL8ZYsWbvQtSuItlY4bQxXi1zksYSzrfT6PCGIoObzTpVC
cTF/XwSV9RDC6OYK1g277BYdB47McLwUeEuW0+0ywELeV6gvERI2GabNky7dr1I4cpOM1V1uJg+u
kVPWpgxZeo35Yu7XH0Vf9SsmPStiacZNElaAjqW2IcuvpxZstmOqcbIGFghrnx+woBnjlR2U3GcA
aNoqkOK5ygZtuiF63Rs2GEqMuKyUbceJhPNwxQLEELBSlUl+++hvKgM7laGd8rXJ8QXQY60HMmrI
SU+u+wRHN58JQl4SztfryZfORQajCx8sHGNiq7vKhgezxeGbhZS/JNUdMGoq71xJHo2Rm88JSOEC
619zDaxFGF450Ma37aHWi1c4ceIbiizCdByrb65kJxfmTZ2GuLBHLgmbU3qvk7iSuj2NjEx1dV1/
LET5SAJ6SUciyxO3/7TUXH9duOy2QiIksvKqNdptTqOf+e5B2sFH1E3M31NrQtyebPpC6HujZ3Qe
8XtD6EmQbAcaSM/QnPDzPHlhFx+GmL6g4uXDDSLQFKaeX9jW3mcKhcwrF3cG6Ejxzkl2CplM3+nJ
5p2kNEbvPJvTjd6S0qs7uIGTwMJZWOl3ISRmoJDMGcecGkZTgyKlBLixE3ePTGGbDmSxKqhzgO7s
vPwifbQM0sT5Bf5T5PzlERpFid3D/idPxMHcu2W0HbnackWQ+qCkEqQUg/5TA2LagJrGnbEzFHuK
5qZaOopHnQFT5TBCqCpWldSNk6PoVf7kCTmzyVsC2Do0/GzaFNprS1GvDvirnIleB4c1G0IfFR/b
9dl5BpjFB78CcoahtTQyiPrxtdDadd7eNz1O4mwNbkLg2woIt6jmA9KHR91PRmwtEAqA68ZTwrQP
gDdu0+dcEb2a66AngPG1gH0jRf0aiv+tAYH9wCjXeo7KypnZRVIb6N6TyWVWttqqBCU2PfvVqnSk
EgoyDqPLCHRcN8QTASFnikbWzWlTKz45BkUOAJaTvCDlFoIZ+fProJhmawxOvqKcLXDnLOOfgT+P
ioMem3zvAUYPyuVDkdJSMdOuoqfTd5Aa1GtaOu94dfSOWmtO+CkBvi5sesVG4dhau4M1/9SCaY/+
sEa/sE0s77kD4857oS1xW1+xQFx2gN5NWH2cFPltqhJ0FM7JAwr3jBo3DMWJN431MQYcH/HuyBRJ
XnrixgItZ1B9YyrWfJqHsz1An0sw9KAg9R6J945Ug23spU+JmZ4wdnpwMdpZZIl+24G0m1V2jkDc
U71/SnNx1yj2PQeCF7laIzfnGDheKko+nBDeEUC0y8z6WAPS8yY5lIqsj0Ds24BkAMXc9/3wMTdr
3Mng9waw/BI8n0zdo2bB69ejthcA/Dogf9fU+xywf8R+x5/TE5Et2y6bbzqlAHDzmoCx5igr3rIe
BViOWIDJ9HOKi5io7X2HmKAVzFARFxhW9DggNrARHSCBzBaYKWwGG9oQWUKKPMFQOoUZwUJgNqcJ
AUOhlAwtkoaoTI8xEgeJ1MHPGJ0yUVwYjI6XCXIIMcSbAnkEGp1jjFzin9rkW20C9fT3tckqfgv/
qjThgd9LE8P5oHtc/jaugLqy/vtjd8MkEU5CEVS2j9O5Ijm+lybWB5pYVbT8UbV8b5VN1jqIWBnw
YR7yu7XJX40LhcWGiOWRAIRCBv5zbRInSdRGMOxneLkceVJaoyld9o6dHvI4HyuoimF2G9JU9cpE
31BM811f4vsdFZyefeK+pBG54R3er3r9nLiZYVyDGmCXkwwsQhftUPiXvOzmQ2j1WbxHCWHeY26o
2Xuj1Rtt4ftad8kDKzikk6PjuZ+miXEXu2yH8fKfs/azX4TOeG6sqrFvKGq2A1G4b6wb4lVZxD2X
vfB6EmqVGNN/12V29dTtRWZyn89zlM7rQM07Z+GyXXbrSD+aah7a1HXiLwvkb+tIYoTW1E237vUp
PtrdRC5tMFecFPhmvfRtwapX1AF8CYu4ecnAqb+OTPsFBO4ZIv1z4nAGQ5rly8qx36ouf2OTZdBb
57X4glgLdQz8fR2O+2LW7U2Xaj1C+9BZDKbOwGFMewMztjFBDdJ5T4ZGe+GnY/BZxs6wa63C3Eda
EJ2IVc53qdG4V0wdJRrbqt4KODkS1Wmk8pToCdur2C00HBT+EBBY1lYrhyFZO7bByuvyo9f7mFcE
jXumKJ33qWBaERP9gho42rpxnS+a0CSbb/ISBqNMBN0iXVWe/0Z6r7b1hnmXGRypzHy3UzAis8G9
ehEGjUCmJD8K3LJW6TiT+OPY29Lw4dQ7otGiZrxKWd3h9kb76GcqSheojd16ZV70ME3vmDtbt2TO
F2+JLppDXsfFUzJgXBbHNZ5jQ3L859T6dmrRXfz9qXUoX2q8n/6ipeKh388tdLXv7tcI2X9dczDi
U5EMzNfQ3Qp6qj/OLY9Ycp1Pr4WZxL831d/PLdYmRNF/+2aMDn/LAdV6Zw3/AFA5HFUqEq5JDPgs
Bbz9MgzGVinH33JqLpPGmLrCh8OoEZsVXrJ3+qi4xMI5A9xEV2TGbJGU2zc1gMZiDvVbKxC3adO/
lWw2FlJGCOeGY+Qam8HqTyRzLrUBqU1hnLzCWGGlCb4jJJyadcKCnCCoPr/CnmAThO6pjbRNOWk3
DEYe3Kl4snmHe0HNZ4XgUBJyEIPvU0KmIk2jY4isve1Fj6jDlprQb6Y0u+oReKKgu5JqEOc7kiJh
3toNKTlx+GCjRdL4jdZZM776cXcO/JRyw3q2Qg7BrjsUgbPpLP84iPoqiKIrv5QbBhjLMKqu2NWy
N0DoKs0nsl12EQI1n/EbO9dLYiRXuNath55BUDuvIn345MftdRT153CclkPpbQVKESR6V41ZYcD2
tUVzuM6RjyD66w+z770E2PnFjnhKkmGvtf5qsNvbKJy3WpKQazQvnKq5m1pixwMZX0Lb3aUu2s/E
ebDbfDdP7W3uda+FKZkhFVd4BZwGJ9/hDnnIm2nX1/gBhpXamV/ZBjtYkpmtUNy6kQvrh+Ni5+L8
LbKR0CUEVMZELRekL1Ypbv3KWUbstUiPdC+91p1Ck/CscNg3ePChtrpNfLk39OBR5BNtsbV2CAxf
1KiWAqWPiwK9XqqyLfYyDF7HGgnn1AerMnZe3IEuuqrl1qtsxnWyoo7ntM1H+UqGuB9Cc3EJrtvJ
H7lzWq9JdvgxRPuubJrkIuZZIrRGUGZtMbGKNz4B2atBzRzV8LGs+2yhedVtWnbVocAGc9mqYSUB
k9YZacywGiYjWWQSzIwb0QTmmpNb0zC3xFC2C5qZXVLA+GFbjDekGpAWJMovDTU0TSqXxZsapPZq
pIrq2EZqON3FYqpXkEGsiSwn3cxqGFtWtckeq33wmk5fpw79bMLsNvYmkOLk66iGur5m3mtMeUvP
WjF9u8ymvRFMges2HTn+6fwYEcezOHtJ96TR+iTnRo2S+bcMlSuuYYs5c6zmzWX+OKoBdDW0HSAg
Q2lKbuSDlXgN0XEvdDW6rtq6X2E+fBUrXakrky9khqLRE32+HNTwOzW9t7Dyn4vJfMDB5Y2fn3j5
Um+XkxqdWxWtSKTG6XZB0BaEAAK6ymBL1qwsL74MzOC9fHwUcvrau/ohYUYvyoiARw3NJdP7eEZ1
lWf1FXdevcnViN9Uw/6SqX9RRRga+Wm7NqMBM2VB0C9OMR9HfCtWbZ1/0UowCzSySvMXFpsklftA
y7aJTq/jz8OnuUSEjl7qEuvuazTIVykguBuZ8751Hca/dBZulO1CctnIZkX6WmX0lpa5DUrzY4ey
UTn+LuvW3sdh32JlGX+cQqhQXxNwMKTYObhHsa541fpm1Zqsb2UAeFEETxYD3uWE7+Zs9ixK0Nax
wzCXooMymJvqPmKSsNITzOmQnitmIfhoZXrPSClweX9Zm1op3Hx/5CMapxOhJnwsm9FDbWVZX3Md
pHIIcDcmphmSLMbrPq/3iFgdfrbhAPZ2kXmMJHPuCfiy9mOkA7QNj4WuH7rRQ5StsRGOtYk2X5en
NNLvxrA72kV0b0wuvtAJomp8bxeeGK2VI7VT3HsGriXpQxMJ4DVmH6vMrbL+LorSYtOMbRgttTJg
XAC4utSSIdoLZv0RrMii0EkFRXNPmmRRxaTr5eVG9iYo8kTd2VIKGTK7IdElXv5Ti3yrRf6WtiBD
/V+nPm7/dXmN2+qv+qgfsQv/A9NdOHWf3S8rQvqUH1aOloBxg3jQLcgMBsPf+yj8PHwe4/EFjx5M
TX+/1yPiA0YfPOzd9uq9+/oN5x/VJf1cjmDyQSsn4EIMCJBfoIvGZKGA82J4QQm4aE1cnf+XAyYa
q5+eQwmJPIvdKQtwplxAJLw4P1J2uVHqfpWR5YNUf08D4m+QxiXNxs3lWVrSGbH0m9ot71+UqFrF
qNToPPvOxI+jpPT3nbPbuD4xyWFQn/tG82ooXsupz46jYXEqGFOH2HUYDHehU9clABRxwFhwr5H6
AVjJet42yJfXI0adWz5f3HTlmGwth0FMMTjXCS4/mEridNSXLA1jLcQjPGxKsouLHLnVXdHM0dcc
VnxjfRMLei28NpY5SkToZ/zX2qgEY+boXWnYvasOuW/rm07yU8TYPc8kUhPbGH20KuMYyQjeLuME
SlH9W0O9ZZh9GoH3Fm6nXfXR8Gin1n3tt3cNEvCwGB4dOy8WnlOXcCbiVDdiHYr6hNQeMCRMcWYg
qjqUznHE94gak9C6sATvltgXc2fM5XRgIPapShJsCDIXB4+yvhBkney450+9JNXDSadjVGFGLgLM
X73MeIuyEgNf319PjHQXnQ/2HQqLHHkp7W1hBfOxnqrjEGhbmae7TovDbZ7ZzSq25mU4V+t6jM85
7dE6sLDuoLiDlWz2QRPfRnbNPVLYxQoLawqcEl+G1tgXrWzWTUQaddMdI0uODLp15/M0pNyHDTGO
LPc3suKtKo14LVifUngU2LYGe1nV55GIuoWBiTJyYo+G0hswMU/sO1tM5YK8YjwaCsjgIvDNVR4I
mrqpO9fOoLGdxhCCpfa2zPQ34fRfwFy8LWPm/Gj5+LMtotSOb6rCy5kFithGas6YyjW0g0/Tv2XV
+znVov3ssLc23IeOjjOLAmfhgWEHqbfsLSJecu9mKCCdWYMmTbBW4tXcGdMdphBbb+xMrOZ54e3C
3bX68GQoUrwiVtb1/Wespc6ljmA/buTBzvTrmW86GEwx4cNnYWwxsnoxW+NN0+SeRfPJCrSd7z7K
4Ln05gPKdG9jkzLQuPZDjWRFXdYD1UzfeR3j9fRkm9N1GCTG0jJT0r1S/xPE+ieLZROOW8bJF0W4
HMWljnZY4UfLaO4twOp640baPYnID4LMQxniI2FH4bUYWHxgbDgt8gHnkjLd05PBLA3GY6VF956X
P2gVftTFuFG1sunKQ+1rBykJQ2gT58B4Y5s5GVer266IE2YG34vuVozJgd9PRSo+c9ujfLYyFgQl
SwjTqpKrXMh0Ryyu+alE6P2x9cq4WcppCh5ylcIuAxdXfZkZa0GgATqJLlrV33Lbu3CJdyHkv0nO
7sjH4jRUdnzVi5nNUvYeAN9XKgweJTvB8LXKiPdUWvyscuMj23nUqE7WA5HyAc7c60ClzEO3tryZ
yU8YVAY9yd0hm3L7ttMxF7VqkurDgcx6g/B6vADucpVmTxJCRYFHwn3qi48Oiff85Vd1r80rV7bF
waOzOQcV+xo5c9OnTvkqsKREzzFFfOTYDgn7Xg+rlNdxSrfhFJ6S3Jhxaw9u0F+/9pIw7gAZTYKa
KdD0O6QKnyyreibHGfQr2Q1J99Vtxktmz8kmJJF3gfLik5n0GwxCnmkZF73XmgthMG8JRmwEu7bw
FgmLjTawV9MUL3H5WCe1+SV3OknPYa+SYvg0WAFeGqS9znH/3HZiUzX8mdNxYwbuk1G0j3ZPE2qU
+YKkrzuZTafCH3ddzb5KG5OnMJr28chHVMrzEOTbMMdDXc+c266bL8AIn2RkX5WJWHpieBoVgzqi
NXexrhoE3Y3UkcoK1ldO+jzXyhE3cbYiIXFAZrSqnRfvw1YyTSObd5nYzh0QGa9gxn4tLNx71ECH
znK6Jcban7gJ6NhKUER0YhSE3a5Mwicbz/QF4/qdnVtrjpsVVT7+M/z2eeSeMD7aNWl4MDr7k18N
OMWVy8pLL5aNMiZnAAUwRwh8+qJ52soe412PI8+C/IoXvUsPvNareJaIQkz/IPrppq10fkzRHhJd
2zW28xwwYh/o8EU33AX4KLHQnTeQQeDJcXStC/k10AHmJubsukiYsc/x2bezbR3U90TSzau0KHeE
ndQ7/PWnk2FYq8Q08cKJn52gPOoNjYFplt2myHVjUQoxXrObJgcVU6N16jUfCz0KN5ruXXSfsJWx
qOtja7gh4zOZb2zH+RxnyL8AprWPY+XwfoH3WE86tIIl4uwLcSzuyrTyyGEdaZ7HqP1ND2GlZRYq
pJwqBEzrTy7SRmobeV4E2lWSYKrymPqvwt7+MI76/1B+vzzFL/PoiXexk0KCXOk1kCcdfHXBTvjv
n0PpEf6o1t4l2fwajlIpYs9mK5Lgx0rKNPspH/04vOikcnjuZe4wobgnS+Xvn+ZnWcS3p0HpT3QD
+D+iyF/W/mGZTJabDoSgsXWr6TtbjFi0+qEX1yNGXE5L42N/E2b/Ay5avLp/P9Y8vyBt+ouhJg/8
z1DTVMsYxoZMDD39HdD+TxPBXsU0oDNcH60aUpY/mgj3A24NpspacnQGjz+y2+4HA7tZVjsG0Imj
G78FivypiUC/Y0Kk2EhoTBdvvp/flmSY93XuTONFL68bwjRIu/+9dyQG7TQhzExtxWf6+Nj+/AzO
6KJdcfv+0oqEg/1R0y8+3kJiZwS8JWERvmFL/9XSwfyFRvf+9IzqM/KDyl55SMWcUj0GHuQvE5eE
lnRqSzOH1Srbm7EpvcPQ2RXp2XawaJ2Nk0z1ug5kYK+7vOMODAvnWZq+uXcs9rJTjeOd0ZbWwvKi
k11mj4Vnpsuq0b8MWvrVl9pH5dFbGgQwuCXoXxI207KYMggQM4Jq4ATFZD8OMU5zti0xLBvbdi3I
67jcBpMk7l6SnOM2FGasanCuMWN2E96y6uNbj0Gxb1vlwo2Hk1YH/JUS/KYCT22Eu5WY0C87402A
zyJVgbUrS+N6iLgoSL0vdHgT1C3H0jcWvaU9NBq38lA8D7N1Ld1oN7hzuza6doueZysq74CuSC4i
pxwxTGrabRBNZ3LS5zu308nvaeypLe4QMzk7p66WCTZZuxrvwe5mrgT/o88bWV6yUJw62smrIp/t
nWi5pOj5arbJ3slhqYZ12gk8ZC9TFmx+gBtaejXNzhOIooOXlQLzLWvTEHUjbP1LppX2erTFWVbi
EJjWakirUxeMhGlM+8mKr/W5XhYB96ycTpCoJ6IuylU35/oytMdjO+hPZN7QcIAA5cX8YGcyXAT5
RNZWX1wXabfF6+oqndODXqbuQlYOMF2Hc3gtvYJNImydwHigTdwH1ogAIpoebsy8Qmndj902C8z2
xkMlfcqmEn2tZx6znEnheBGRd9v2KDUNVp0YqxGnjAdVkMXXfaHdjUNBGgx/llJmay/22dp3X9yI
FZrhJDcmPll+n/dEGRv42zkrDJ5uur7kOEex7IxiOzbDRmfv1XEl54a+Ksvybi7EdR7U9XKUUCRd
lg63copusf3dN6i8vcr7KNJiKV27wVNLA/2Km68FpBTCzi0SdxaXKNNxeqFFGt70MTwWuM/VwsDr
yPVxLMTd07JiGv0RxWp4HcXDWdjJrrZzhNX2OnOLZS+DY9uSCWYDCcydMpO74oZfmdALHBQ3E+wQ
cBTDY0sEG9DbR9GgQOITsqxTsCqCZKZdOtpES2WAqcwWWQtqh7Sd79tqBHLOOgay5V0y6Cu2ALyt
IXLx9jNf/D55SVzvXNZZssB0Kl1Ce0yLoB2BWIPB272f9f9ceuJ/0PoF0YZLdrl/vvXUI/9z66l9
HVMpJEZ4Kf2cZGh+QAjKRIkamTxl9wda38VLAv8G3Gtsdef9mGTofOBgt03PVbwA1ky/devhoM4d
8Ec5xnfCVQQGAg0U1ZL6UX6+I/xAK5HYeDjfsdvADxtzPGR+5iqTxVPcWN6aKZdB8QRSnaUuDbDd
7Wvb+DqUOtdIno8H7MksjJ3TZNXp/S4kfcjm9QBM554oix6ODie/xE1ex6ABKlQmf0MBjZMp4z+X
GQUZ1ZN/HdX5g60sAuvRIpWPkRFWYQ+sIcqlHj/hcHefk9NxcRVjVyrarlfcnc4Q5ZCD4gUiTNmV
+TdeivCGyfEbEGS/CU1tvC9qf0dVckwqOW10WZBKJG9rA4VCWWXEA9VXQ4HZl6i3tt5irmDLU+42
d8jzOeqn8tzaLk54nbVNcZFChN5+nljxcImGw9pFpb604mCLQ8Qd8PMmksy+fczD2qaJ90PmPhtG
5HIUjSQlY4vmzdjw4qDGCYEhWxkbK5n20SprlCxgvg1CEsBszeCl6ePhmMVwgbkdXvlVfPA99OB4
gq3nTvuSJBnT+ZqeLSzj7TiP8bIOXGYCQyo4arV40SMj6jPv2goLNqedUhyoZrezbllJQd5/IWrn
q8u36ydesrjGnyEy2pcI7hG+H25RuB3YHSp4JhMGWyNI0GxAepAJnGindueV/i0Dz/K6zo1zLRO5
1mujwr+zbFeUbeYWW/B7MePUmw7+ytPsB/xy/EM9JOwjWTs5dXClq4PcC9INLoXHtuyux4BbK9O3
OApuSonUyrDjJ1+0YltQiSDMyqOVn9WbOYaiqKePLLE2ohieBeLmfW4Nt0OrcXnM4xvPLNfSyt4G
tzYuCDMwBjGm60TiEBKk0dnvteA0WM0rls3uAi8BkxUOBU+k5e66dnvfXk9FW6/1mQQICiR2HdVV
OGgE/KnySb5XUu57VWVV+MYzPP7C3TIeBtvCjMLdNKijOyvYTDaJl1bQfPIFYJ2YCuqfiqdgTcY6
bteMJGn3Ni+xFwa4b0Xzg1WVxkKYLKutyr3zaufYGdNbFtXpij7wlpTH8OjMw3rOsXjA5tjw8ZVL
HUZv2GZ8SebKZ+/pfpGuG1KrgYjaA/ZXpdHedHXJS9ycA6qQFVOS6lC6hGDFLHLrlIEs/uu8wz0Y
YjnxCDILF8UYTpvECL5mVXCd4Ru5Enmns7fry6XTC5ahc3asEXSvZ92pd2E/rzTMnN2gOIyJ2a7i
wPyUVGyZHKfrTpHQ9LM1NvabrgfpfamLapcNHlMZI4vovP+5nd63OzbQxX9vye7fopf85c83k3rU
DzcTDgQmUlnuJhzZ6Ef+049ZHwDZMbPjRoAnUfuefy91hP5BcPl4QBT4GVFv0yd9X+r47HuU/xDa
V+Vr8Hs6MlJ+fr2ZFGFiqOeiMeN45nr8sXspMlzwcFv1LgMORO0qsQDpbZ09e6FhwxFSriNGsrWB
0mbo94ivqCFzJpjG4B86m6Q6XH6NTZhM955W1ts+yTOI/xjLISdfJ331OTSlYeBFTam2BevvtZWl
9Y+tN4vbCdqCMEwHAYqYnH0iXQ4rE094d2jOKA16YmPNCBjaeO2C9qse9N2uGguADYKklk7ZputY
9reTIW9c9qQ3NejcMkxHb6VnBVwvuN+CSF0und7Hx8iv/EXOT+XJFJK/13YG4aHrhE8liq34iwGp
wQp+YAnSFcmwc9qApXc1w1RbqN/SoDAugUk8ruwL/h9c8s6FXFhUPP0cZyyFXWZek8+yd2a0tOBa
RxNvjefMxf61jA6yMHddw52MGv7l/9g7r6ZGsjTvf5WOvc+K9OZiN2JlccLTQN1kqDDpvc9Pv7+D
oBsKVc30Ky70RozmYmYKOJJOHvOYv6ljDV9Wz80nWd0ak9bFZRHhPOq0x62EkFNpaoChk2JYjj4c
1bIpoSuh8lTiqzGni3uTjxV68uVBDtj60CjGcwSEh5lmOrdaYT1kZXaKBJBQZPaP6OudG7V77bUw
WDua9C1wlzLXD+XGWRng5qAGSyY4Ct1a5nF2F3bxEZCR+z6s6aY40nPv2VhC1c4iiNvvBn4weYrS
jIK00zRMwWinJtPSxlo+0XzPPwlgZ0+iogq+q2l2bg/hn5FsJTTGs2yCD0cP39Dp5kmWAvWtqluz
re5ts59muprNIy9A7NuDRpXHxZ+ZBh4okUlte9v0ZpXcX6PbSV9KbbVp0IKlTEeIDCZpG9qdzXle
gXKWrS6clyMiA3l9hwzCY+Kl+sLVlMfcjeBo977AFankrzZZcWq1C7PXXKSmELyOWK7LBglLmmF6
QkdfoTKb69oh/qfO0kMGZKphnXfYYx870JrXo+qHJjIFB7DQXAmraNaY1TNyBngLy9AV2fv5NE+j
eBEg1YztNLlX6ThTSJgxuCF4Dm3mjzNXKWAAEuJ1OCV4KPHPfLs/01r3QDXSc79Pz8zIhu0VLBr1
ENSE260cxqz0+ionMSdQsM6jxLy1nOQsSot40mnhMHNDjOeB+8tF8FSl9Z0V++RuPRIeWZg788py
ymnmUK+oQ8KAKF9RN1xWUnKDOPlhVHgndZInB4qKoCNdHzVGi71BJcjqHFZ7j81srI5HqKLf+1Vw
aph5OjHlzjoMC+tEdZLToEZ8VtKwjq5wVciiCMiUSUTi+Qp+Yp4SHDZhcKI2wYmS5Pex0hcIdVXc
YIqLWJZx22ACqiaRvsSGwZn1oWJOEZ02ZtjjwYT3LErrTb1Es5WKtzn2UwlVls50b4FSpRMwOGA+
Ao2jh7/DJBxjS1xq8zA6dMfyqUg1fa6OMXUNR8VYIhuR+oOV7zCt07b2b1VXu6g7rMS1oBnmbVjp
s6jFTyIq5GdM04/1IDgJfASvwNzjm4yEt5wE96OpXbuCplq6GXiVOpaoiCiX9NXvEVhHgVNLL1SJ
dqUyounvNEiE0zgqUtudq1V7UfoNdAD1uvWrldyCqLOokgSlTwvGSi5i1H17K5COfFztAqNOZ3Ld
H5mDDdk0Roa8Vw3BboynZgp/P9ZRJRhlf0X3jLAJmY0ZavDP3uheFzn4+UERINiAXmvvh49lbpx5
mUKzxO7GGSVfdZqaunzcITd8UNv5wuqIcsZivBg0rZtLLTiqyPGuejL0RqWF6ObHjpO0Cz0vj8i2
QCoqvjctYOmS7JuYCJsULKiE3CWlvKg9eV1UfYCmiY/SEoU5s0luVKM9GSHPwK+nZ9vqC2F3DlLv
GHf3g7By6wMETUm0RzOYGPTrB0t5GJV8ZXic2b3AuYX+vFDKpzoMVnVfrMfem1sBu7MamqmuKfcZ
PWC6rMi8dfTeIvnAqjlNvXqhtywCmoqc3Dm1L8TpjAimVT9Y15TFVqNuPEU1B2WgmXibx6LxCg25
pj2iEGVN+so5KxFtXqp692fMuqUrTmXO6jDZaFVpwka7oEbRUu4fabYP3pq7s5xngd9MJOipc1Af
5pltS+hjIWm2LKvyLoiUKyMF/I2Gzg1a6fdh5BMecy6gAcTSAPSjcIIoi1G1f2iu3S9Lp1zw+X6U
Ic3/1M4eK2JGWliEiamvjafwa4yZmxfn3Hm0wPlZl/vHNQLOE8TtCIKlDAhY8+gKaRnZKh41YKZh
6ECek9xoWoO2VmhuIvo2oPqXOS04glpHzw1YH7usmLq2cerTwJ3leZDS98oWWeMdDKjozS3OSfDd
k05Kr4Zs9MFOhN8jK38wOmuqAcFYui5tSOGLjnjQlWJAPi5aTGNxND5EnYurONXJjgmNpqSF0Hkk
pToTXFYPb+lI+LADbzvrLWpKFRbtshYkCBHmz7aUksBi494JPKhUYKxO+gGkn6ZeTptJpnt2UULz
4TSvMIXXW3/pB7ohTePGtw/pqznFaRbHmW9OykAWyn5B0Y6o9juFf/KfOPoljhax7a/j6KvgCef1
z3G0+Ku/4mgZDU8FZWbBMaU1R0T8VxyNVINB94JA09BVgAZ/xdEawTKlHxySwKZqSMYw4N9xNIMQ
91rUvulfKc4/IcBu0WPgSARkjLwDTFzV+aTlyxL21SyQz0BpBVR8RxBKyvfMe0QwcEQtlIAuPcGp
AdMP5BRPupx/L1XrzERZsEEXBXjAZYziIOqTgE2kfllF/l2KlTVqVJdaaq9yIVZYWfeKiQ5mjIrh
iJphbVgI1guBQ9VrbvI+vQ6F9GHjyDFHr1LPkGq/xxRsZqKTaAz4jaGbOKIOpqCjqOoS+CiUFX0j
ndNNt6bRGBxUdGgmISqMimcddCiigJmsRfn+HkrezYhuo4N+IyYpCSxw9VnqUph8zZ8R/NKJjuZj
6UiLEQ3IwKG+zTdb5g7aoUQMMzuoTRyahDU9GpI1IF+M32yxr5cWKpNl1dqTAd3JolN71PwG6xBX
ekRTXf04lGMa2Z10gI8LdZegdA8aCQyO3h+qL9qW5mWXkwnUSXkTo34ZCxlME+K758u3cmIc20Io
M5f7FVYLBthfS5obqGnWLXz8Hn1NHZ1N+CwgNlDeHJRH4D/fPfQ4B9vA1VNIdI42RHsh2hkXGiG9
/qQJOU/arzemEPjsZKQ+JYrMtRD/HDpkQOV+4NYalrbdzXN0QpuKOfOEdGi3kRHFEghN0bqvUTFy
rTBb1gYNEWAwwQBUJ5frw8zGR6u2HNT81Rr0RpHJpTVXA91t51Wl1c46bovuMKwNtZ6ZEebtk17r
Bgyk1KycUULyCbYo0ee6A42xoMqSaQ+pXxYTyaWkoOkIwdOv5391wFnG6gFVL33qRMWzKGZOkAOb
DfRVgIUCGfWM6NIa8+HY0qxTyVftaY1dFbZg5iST/Lu41+9Tu0eWtm+vqLj4AGCx1oAC+Bjm1bM6
9E9jTYm8teI/PVNnKUAvldseIi1wwjKVgjkiaNocts95j6LmjNj/QPfLezsy6gUs1hgFbvt+qAlb
UDECymJ1j3RABM2861k5tTNLg8qeyqHjrWJPOvXuY24+zzvCIeBR76nPJKwX8EnUPY/NFPG8LL9o
NYIGH9XbXA/yiZl5Ao81gehE2iibt66gYxn8i610t95YXARuPB10qTrpqvvUMAD/DxKG8pY1BjOG
6rk4o5lEm4pYF7S75FcoQfXQLTuEY0GcXaJD4h1Gvn88mukpCGTywpxQEB5QDChaXhRDVD78517Z
3CuUU35zr9RrHngMeW3L3cJfvrtbRHEG3wLVpHvMVfD+btFF0wCDZE0wEd91D1CYtIjFYCkSDNM4
50dvdws9c4QaeGYC9obN3j/qHkB8/LlGA7CXMhE1GmQcZOSFPtZowPpoUdnH2VlDhjKuQjU3wlNF
l0N1XtdJfA6nra2nACpPDYI7opYH3UOLp1ST61ZBIAZVhJNCLe/pGR7FVXoZJMGsllSQjqG7QuZt
lfdZNE2tbulpGLeUVYStdXc7hukTnJke7x+16kRp4gLbtoWSENn6BI8NoK+ZqNKQuIarmuZ3T7dl
VmptqvxQQd3BZ/fiRee1tnII06oMjoAM1h4pqUQNVUaoh9ZyroXACCWZ4oHZ5odWYCXLwnKOTKyA
9GvNrSmRu0kXogbmeL5+UoZBdR92bjprWi1RF23ThuO0bsJjq6IOMY0dKhpzqzSQoXnhp0Rk+IBT
XngryQuHhePiRwMVFJ+h9NYSRBekiyD+CeoLHJjchfxpCVpMKAgyqLWskNpEexg42iSHRVOMCPn6
5BuZ296o8Gykcjys4d20VjJN2+6Q4vMMUeSTvjPOHLTkJjaMnTJWL4cqWBNlH0PckSj8NKtGkHws
2D62oP2gZ3fZNtIh6mBzmsyntsA8auUkkboDOOxHHfwhoM0nnpOeJvCKmgwHPXhGDtQJFd5RREju
w0NyFe/MRE5hUsT5VQxTyUqDWZzLyw4GU1mjvN1zacBsSgS+F6aTY1dHsaA+QVFQ56HznMLo1+FG
aXCkOsGVyuHZZBUuR9W5E9X3JZwqC2ujnJg6hYM2ZphmAOOkuXKagrao4GSNyPy0cLTIz095ltM8
7BYOHK4Q+eEKTteoGYsGjldohEv64N9VI1wQI6xyrf7hZZDCxKP3LOcaHSlKYcqSItGJIkg0xDew
v/zZUISnpYlIBSV8EukbA/5ZzOkPMQrfxig5rGCo2YFNdaZ4orsxbdP41oLJlsk+pHpp4ebGCcD7
hQrjTQ5b3PAG5aSDC9fyIaYO7LgIlpwLW45OIbU3qFaw6KSgP+5g1WUVxTyAu0+lpV62Tn9ZCgKe
67XGBU3vZWB2kPNcHRqqintBjNJggkSyIKNmGoS+lvky+uJMNg1ssVhSjaMfxjRWphg7orZZOY+D
159yqdMK0E6swLvoi9qc9dyq2C9aM60ovtfhwPLTTFIuhM+LdlhImvt9LONV52COYSfNNSzbuSZp
lOT0GgZPNgJ9xoptoiXkUpKP/FDeSinUHmXl6vqlXgKGBTWBjnLPE29D5zzMpWWlI85CG4qCYyRN
pQr3naJXVnXYLCOXKxUMoUzxBucmemCBilis01TnBZiOaapXx6oG2NIfKvAKyAK40YlWoGBNJSEx
i9NcxcKpK5IHoPE8jFGigV8hRuEOTFZtXhixfZjVoTYDaQ9oJXLxQhv7GnJLM81k+lWqb4CDCfKT
JAAMHNXgpdXsrrZ0yhxqQmCWjKeNIJlFwaOpFSFgcPXAzYF490KLjHLvpZmqf8IgOJIM78CWmngB
szGnKdqtDAcxxlbnBADfnU+dPEVLsXCbSRfkxSJshpOMNufE1IKzKCpuWrOBnuf3155psN4p3qZC
Hx0UpxszNXRgKbuU4Y3TJukUKTRo14bUnYwZarcAhKPpf+7+TW/mtznln0j8NduSSuNdUomaKbQY
sjUq82Dw3zdnFOwkBLGGfM55xdG9MW70bwjUqJaDmgBpzgvY4O3i13Dq1VWTxozAzIkf/QPGzSfQ
AKGDaOKT2mINRYni47Xfy5LXlmXanI5DNBWiuCR6mP0lm+bdLxFswPl+ji8AQMBaRpyVbhSuGz+h
ExQwAoWJSvyp3BjOTeTjO4GGYDyMB4QkBoWhOm30Q7DH4xXSJB6YIeRbQtvy7vMstI9Kb3COFQuL
ipxrtz/3B+1SG7I2m5mDZ1X4rIWV9r3tC9OmKVq0LW3OTJ+1aHZMTPSTzjp0iTCkzPNMnWddjI0m
CHg3nASVm1IGG5BGQy5YnlXpgxHr3aml5/GZ3sh5PFXyKB4WmdtrSNVRS4vh61C/6zLtTG4VIzpp
4/CsrAHM4yLTT33nXFPkJ6PKH9PCW7iVfG0BZk4xvTUkM1uqMt+CrGXukMk5ydzok0N3gEGqRcRM
VanM4qF49m3/EgjaqaLmz43WXqFfmMw7vQzvrYimvONFzUqy8hKyqGEexQFKyzAr5+OoVpwFkvas
hxXdaRcqYFojPQsrBR+8WDLmamevyOpOq5Tjj7oeFTZ4mcs6tW4GRbqL8fKdZaEPYqKuPZX8GsQf
y8JFLoqyw9zWxRA1XpeRWd6Ueo0xuWmn/mVFQx29fKUkz5fRMIiDgVkEqD2pIgiTulQOsxBcRIGQ
wpEvQaR+F3dvgTyrbLKPABh6lkhV0mnS2Rws649rGe/iwvNASp6iQbSmYKpcgfKb0A2f1gcp8cqE
RHWeLK05sugT40hfaHMO6Gn0L9a6IULlv4E4YH2QLgODipIauE0dwY+PnwPJ3a6BOJuduqp3hL5u
P428wp3knY6guRU58wLnEdCAZknUacsrzyrdI4VnhP1tMh2s4dRBaWNiq+N3rBmdRaViyVfX+cK1
x++4HhgTzJN9cTvdEntZE7Us0NKruLqoOKsgRugBGH4/HzRsYZUUigU0VzzsqRE5B6NG/1BVl7pu
QNdGdQfzF33KNXGA+tMs04C7wOifd513ogKtmERwoGcIJiLuHVYzNvFpRxV8WXghnATNu/G67EDR
klXT2zI3Xr6UIxaa5RT6AvWwq98/4o+HyAuKCrw50FvdIYnSnJ8OEQfrGydP3PJUbpNwyUEQ8+WR
BJECf46zio64iEcN8K9sbtuq0n5+mo714T1/eppS31plG3nVaeFpCPTC4Wk8eh6VdaAnDdA8YirP
LCnoUwIxYgJHQ08HLBARGAUnc5IF9p0cVMWEmOvZjeCaFMVKzcwL2R0fDK/4nnRBAYm4yP+jzKFs
7mT29V9PcLYGu8c1jLjWKZK7//1f12WA0OHwORkXx8FfyTh2DyhuKCgaimLu+ztZ1b698DJeEnHW
1xtaQvlG1u5YFlcvNSOYs39n4s43/l1GmFBBhkhGneifXMhEBR8WHDg+dp4D1VZ1+C8oIuKYe4f1
xp+5N4uiSs5TWJz6qlIbKrtDE1BiBDjaqQ60sZYyJr2Zh6JNvo+i09HT8tBF70OzfgwtWjw5TZGS
c6MQXRIIrDGMeutUFh0UIlqgEzkqDa7orxii06KKnguKa6eS6MIgBlBzbGRn1VA/SqJTYzjdoy56
Nz7q+o3o5mR2cNyL/g5mZiuJmkApZ8YsEz0gv4YmVou+kDWU8PahDoItEGbRizGJMDGimSTRVPK7
WkGGwDuwrPo0HSOYkqL9ZBTdfQf6IK6HeBrSodKM+s6jZL90RPMK90nzzAtoaOmKQ54mmlwK3S6q
Y9mSMjU0djphQaCeZTpNan9Ur4BuFxN00y96VT5KZONJr5OlVnbrSg+OAWdF0xJz2R6kc+nU/LZz
kMjlXYMnQtaDF04j7y6rzDsnxIQAY1Fde6gc56FUq7NyDG6NrH+IdMiYqiaPM4qa52gd40lkdAeJ
H0iTsJYAIkuYbQ1RcFUF2in8yNNRK1xhF4p4r4pjl4Gb9WGocFAYCpbFlHrPJaMDjSUQIoYE7tDr
lePQN71lKDXmovCQaisaeW5X/Y1ZSUdqV5TY3ddHdgbRVKZHnw+6Mx2iAn/oPFWXQy3qD2E2K4MG
5AMS5MvI8kssptGoN1u3nxuNKoPd4qfWoKJA1/3p2haO4s25KTfQKVIUVySnWJY6kGtVpaweYbqB
PQbGZJ030bsRrpFcHiJiW05LVcJR1wD00CEBiZvaqc+j4DfLHyFywagxnHeefOiFVj811RAGXAYz
Uj9wFMhl0Wje1GExkRPvT6CET8SUEp0DyklGYwrVAYe0sxnv0hChQE/Nj1wrv5WapprFVXcj0ZOb
8qeEQ0BC51obXQ2Siu6jiteZomTPCfiDaZDlK31wziIdVYt66Lmcsw7ycdvNexvQv9UlHnultEFO
BuhFCjezuiHz08p+XbtI5IJ4dEHHoo+lReFtE82sOLgBngkbygmsOXttpustBY/aqpdphQyH0SHB
1yuqi50ktuF5t9KxAJ8lYaDNRkm6AIPpz4e0oPChgm1I1RTnj95E9l7j4vFG8KbZOsKBQKy1K107
wic7kmmmSB4KzFY114Y+nIEYIEzL/kTx5xnefkjMrD+Xo3zvVM4JZK3TfBiuVFOxJmDZ/bk5UFEe
kuLSb6p1rOOeFQyHdjZC73MQGlRgbbP2QhAW+rS0h2e1Kr97UnPcZfVFnEurug2jRZDWszGCZui0
/VSRcUdAUlSdhA1sg8bx22lZ18+5lICW6jsBSrbWQVF+R05NnlSZFE3UDGhG39mIEjcIVVSGZOPk
rN9x6haUTGh3t7H5UKN/Tm6gBjMO5GM8kfulVzXwQcf2qEYidaqW3qXp9+sQ2xZK+Fy4dVHF89wj
La704sBMwP/7AdU8v7+qjQLLOQCXcQ/0EpkYSmKpUbLpMraEba7iMgjnWe/SnMX5W2/cHpM978p1
9bMsd64cVz/Q+sEGDCEkuob40s0BlnpKsfBqO74rO3yv3Q6WC/Vd9LnFxjbCW8sEr2K2XbTgWEVn
SPV/9GlmTho9WCAyfcSBfjnoWXtQIM+E0khzkYMdmASGMWsBoC99OfCmbaXpAFWza6z2jmB369Oo
iJFSai8CIpCJShDoYjUOfaekfObF/G3bXhlmaB+MafOjylCldNC7nqip6qNJXcA7H6VnRwefgdBY
sLQd6QIJ6x+mxt4uYstGiNSmY93Te8LDNoVa6IAhy4o7xU7caW3D+UwGrPQ0FfCnj/wCrmTq0shT
eRFivbOIBeXXCW5xa9GnFFcXAz5HE3RT4chUSTntNHiudQ8ZxQFHODXbwDwEB3LggL6ZCLV1Ng0R
X6O3N/4QXXTcidM6RBQmMKpwgg6ahxLmwHIjyJ41If+Gbmtwkksjajp6uBokOEdAqDo09roOCSdE
lOphiTLOo5EZ5wjvPvUKw8HquhMYIjQ/JZZek56Q1BaoDo8r7v9+YlnpAbn+YR3nJRhgtYF1Kmd3
kDTiw2osbjSVjR+n2q2Epg+Ry2NXxAucym+47OXjwEQChfv/sII5SVX9GrXLA4yTSSnhwYuqItg0
vTtwgR4LJQoq4zqCLyA7ZqplPQR9Js0SBCSmRZaPiyGzLxU3KeYGqCWoVkDi8zwBlx837qFcDmtT
YjHUfqsuosi+7lMATbYrHQWety4hxnkIBUAtydFNyvh7Kz/PIigomSN7czQiHnKyAgqowb0uA2EM
C/Ncbsw/Mww+3FxYEXracyiDStNa9EBVtcRsqk/9hWlRIqvNSjj4DSy/EBE/JRjwtRuVe7NqTx09
Cubkt+jkSZzapPM4olmUWE0pXMupukLlxp/WgRuC0MiPgxa3NeR0lsOI9FGjGUgwydFB6KGKF9gQ
gmXRsStUXO6ysIznpmM/+p6EEr7tlYtW0eRplrTtLJMR14lGcaqatwmWLfRKXWOaFNK1X3Y3gOYA
tQTOlAoBrVQFGEdj11OvyoD76/5VbSIARYXtsPGaaprIzo2eNudejBCyVtXUGXMJYSaT/aS19aL3
pHimRumhROTEhgzlaadWP3IvoffIfc5scYVANgLQBjIweOpo9kq5+WzK0rUE2HtmJQJx70TPlsDK
Q+Z4aIfy2OEmnwyW8VC11rKwya1TTzlyU8zQ0UHSp70Z3XpJgnhQX6pTm0phKCXQ539gxH5CYIBV
JTr9E6UJj3IhkpY3IW4gAXqoCHlMbDu69yQjR48rvFYArYBsly6tBCabimaq7nS3PTEXMMMRCkKe
pfOi1rzpYGDVlEQFXwfzBzB2aIJkmY6hIOhMe6APbxXxlH33bKrgNFkz/dyLtAW+Cnd5y9b1S+Ui
9lJRwNVWmhkAuzTCctJE+ZUZ8IwMCyJ45vec02W66vUSHSITL0O7fggTYPf0Lm6L3ucMauSbMQ6O
+iG+Bn6QzDqkCjJL/tG2MDDsLtUmTo2IWhY3J3lVLlIZxxk6HBSTobKzasMnRyiYtSag/j59GpMS
pTZQrR4dGFzU7xD7xFMhvMlbAAAVUZ4VcfT5BSvTdzoL1Y6AD9lYS7kvn02fkM7K+nstIeZr0bQI
4vCOlsyh67oz1JTWgBV+hHVzpuvFEdLSysxL+gXaYtyUWnEAlf+y95V5b+Dd4xbZFTCwA1rthw7N
p0IOz2sUrCGxDOhP0GN2MRQu2xNIi4fYdUxjQ25RXgqVYVp4lhpdxOlo3g2osNmnhYSa+gX2zWgA
DLYJbyGX/r+hUb+S3kR6OH/JDi+ap3K4fKq4ZKu3eqn46XlGZHKd/b/90u8Hes1Lr4ecvHT9CKcJ
Ffm6DB7q99mpYTgUXT8ktC+f6eUD/26IeM3d0TwytgbJDPC/ScIov7xIKeMs9V5/TCnN+UY0R4mX
jOjl9fKG7+boV7Pw+y+4mc7f/86vvwG97E3ifvj43/+1Se0FoukfzwTjvJsKknESdUMFxfXyooT0
YSqEIKdu46ss+HG8175NghCH2HkSrG+0E2y4Fugbi9enSVC/wYwHPcDc7eEcUAOhCrfjQrCwpVDp
n+i/2BMsBHTAFIUSy55OgsBg7DgJJl5RCnVoToDN66fdwMGA+jX/UfZzN1BA3yzRTafprwP7XxyO
Px8JkI+AiFE1fnkxrR+PBIi9HJ+oVmwqi/t2JNDS2HywXSZBhdKFBYJO6+nlxaL/MAmK8c1goUDe
Mt+ukL08GeTdrwgaspz+JkDe7etBbApeCFZQet3LSVA3u3WX9WB+A4z20kPevh5QpwZvBqNwb+8I
UTjf8XhEZ5tLkHIzD/rDbuBysEDcAbHe3B77ejDIuy8EIIaogTo4F2zfDaoqgIY26dXmOtq/01EI
T+24EIQUAw1jCjCbSSAE+7geFPzBMWhD9GhPjwShtLTjJGC7i7AFqBOaWeIlbtH3WQSbAokLh6t0
bydhc2Dvci4631TxFbkdfjEJaF/JNhRXgWDZy8vhEw/m30knP0VMJlK/nIubSfg5WGAl8EPMY4Uy
Fa99PR71nTcFLHnCAHj1wLdeXp82BdIvwpjGVvd1U6i7R0wWphO6aoES20wCz/vDyUDE5JhIDKC4
tjk/93RryJtntMP5oCvfLAEvUsWdKV6fUmudAwQbRFNlpezl+SCgeTvfFOjeQed6LS+IisWH9SDC
J8eBSCCk/njt6/kgPFd2nAognEK3EMWyn+eAuAlxT8h6+7oQBNhz52+vgG0lZnitL2xJrU3iKoow
+3o6ajsfCVRfEVgA9oO8yeb1eSUgaA/G9lV8c/8iaGXnK4J7EmVPHvTnfaB/A6urIf35Oj17eiwq
m226w92gkUXIyI7KEPe2LgSg4OwTE7zZvqZSys4Bk2Z8w2ZKFNs2R784+z/cDcQKIuHk3NjcQ3u4
G3ZPqvmOVNqIhnDTEK8tUaOjGAq08X09F5XdUynzG8+YNoP+i6SalQAdEoK8sq8rQXhJ7nhDakRC
BEK2+atiI70agzITaNQ9PRhfE5tdDkb7mwrPROdJb7bDp3ySfhSuL0JhYU8nAXHOHVeC0Fuj5CyM
d34xCZRX+LGgAu/pJLx2ynZYCaRP9OPovirm5oZkWj/cDmQO6GtQmX+9ifbwdtg9fdLRElFVDabM
ZhJ+jpqJE7C4pzTNDSJe+3oyvFaEd1gPhEyUHEmRrNdy28/RAusBVVuqD4Iwz1G8f+tB33092N9e
SfyvNaYtxyPsPFNnGvZ0El6fzi4rgX690LYx5Neiws+bgj4EGpUcjs6+Bs+v7eNdJsH5pog4AZrJ
5o74tB0gf8J/goCyt3fE7mmUhfstEttUl7cfj5wJeOA6nI6b8vS+Ho+vCc5u60EFDok86uvx+Olk
QJYKA1/uy33NIwRLc8cQmtuQXvxfy+FTyZU8ArIJNoSv5bz9uyPU3StttvBZFJnEK5xp20pAagC/
6M2m2dfrUsgM77geNJBdIMQgkm8/JBUOEHqYpJV7Owm7H5I2fSlgLGj1bJ4398HHQFpE2uI/1GLE
a18PSW3384ECIx1ZxdZeiy0/bw3WA0BAme2zp9HTKxR1l4sCeBdKywYQr5/WAV8egzGb2XlNNvZ1
DnYPo4kgmQIdocXNufDzOgDShMERvQhnv7vWwiNkxyPSoJ4CgY9iwmYqPsWR1Bo4PoE87u2e2Hyw
XfbES9fawojsdeV/OiKpOqnInUFp29NNoe/cl9H0b2wHkTX9GgEMGUoTuiybi2Rfp2L3uIGwgJoK
Jflf5RXKNzozCtH0vkJ7hOfPjicD4FeL/hS11p8uCk5HfmApNOv2dQnsHjVRbrJ0VAvfyo8/35YU
GUCDcmjubT71ujZ3OBcFhAUVY+6HN/jGzytBRbEKMDiFt31dCTtX4zWRVJJNCQT0y+vTDclKQJXL
kPcW7ChsJ3c8DCw6DohiGuav2pSUFxAFBRu8ea/9y6w/mef8Y7AjfRk4D7jYvmFYCDw+ZlKECdyP
EEQ2ceW+Ho9CKGbH9QB2DVSnJv8KCy4qLQ41BvOVmrSH6+Er7ggSSfGsf0Ece5kEESi8ktT2cBJ2
Px5FIVqBDURR7eXFtH7cFMIMEdl7oLH//h3xb8zUX9zcqY/V9gsrF9uYbeTdX/3CGx3188/f0U1f
SLcfflOwdDdvviGliv//Px9Iu+pL8+ndT9+aUS/v9Pr3r1/x85t/eLO37/X2jweYE6zLB394+cHw
+kE3glb/G6Nr9bj+mSwr2gRv/7aFYfx+G/x+dPSfnt4G+puJK2hWf3/Vn+jL//bgyfoxK98Gejc4
R+jOg0+Q7d32wflwO489XcfrlkdSvY317rOz3ncfH22B6tMjpSrBEf4Fg6d1iaFpVtXb3oK4f+e3
mD3Ff5xm5db55+zZefx5/McsK1k8b2O9m3+y+J3HX5RYUW0bnDBn58GX8VOavo3z7oN/xXY9aJIf
WfxYfx5eQDh3/uiHSf5UBuv4bai/P71goO4+PHJBb8O8G/orduzxU7llzgWIZOdPfRyk3paDQADk
dh77ZB1tOcMEGfsLhq6qp21z8hUb9CSr/vjf1HuKn7bNzFds0dX6kQP4bR7erZav2KKrNSqRW8b+
ii0qxs6zbae7IOLs/FhXT+lj9hBsO70E/uALxi8fnh7fBvp73gWdZffBMz772zjvxv6KbbrKts7J
V+xShq6fyqdhyyf/ip16us63LHQBu9x5wk+f2vXn2NHACvYLBj8r1xwBbwO9e5xfsUXP4/XD05bY
UTQsdp6W87hJtgV3Qn9m58EvA0LHKnjcMjOi+b3z+Ffrh5KUIK233KXaV+zSq3X6x+QJFd1tb/AV
W3XzBmW6Lh+3HmSiJ/wF05T+MQuevG1f4it2rfgSC3bAQ1A9bHuPr9i+4j2OsnXRbLuttK/Yw+Id
Tpqg+uPsR1Dl277HV2xm8S6rdf20bfyv2M+Mjwz0ZF3+WG+LGUQb7SvWE+8xjbe/w9dsbPEtpmUz
vn3cv89U/Us2tr/emhMKmvTu8/M7g8UXCbYdyhRXQRWh6Ny8fc53E/MlezmL19uiB1H7331iCEy2
ObgL4PDug/8r+7GdZ16UWbbcw4I8uvOn/625/a6f/PdK8DuP3nASbLniBdt393lpKBAl2+pyoua8
8/C/963ZdWbus3jLOS9a1zt/8Pvmx5ZI2fjXu3RbWfYvMsHnYu2bsOG2P/tYixa/8RA/rcv/+T8A
AAD//w==</cx:binary>
              </cx:geoCache>
            </cx:geography>
          </cx:layoutPr>
          <cx:valueColors>
            <cx:minColor>
              <a:schemeClr val="accent4">
                <a:lumMod val="40000"/>
                <a:lumOff val="60000"/>
              </a:schemeClr>
            </cx:minColor>
            <cx:maxColor>
              <a:schemeClr val="accent4">
                <a:lumMod val="75000"/>
              </a:schemeClr>
            </cx:maxColor>
          </cx:valueColors>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190500</xdr:colOff>
      <xdr:row>40</xdr:row>
      <xdr:rowOff>112059</xdr:rowOff>
    </xdr:to>
    <xdr:sp macro="" textlink="">
      <xdr:nvSpPr>
        <xdr:cNvPr id="2" name="Rectangle 1">
          <a:extLst>
            <a:ext uri="{FF2B5EF4-FFF2-40B4-BE49-F238E27FC236}">
              <a16:creationId xmlns:a16="http://schemas.microsoft.com/office/drawing/2014/main" id="{AB078964-4AFA-60B5-EBC3-CC7C65A45013}"/>
            </a:ext>
          </a:extLst>
        </xdr:cNvPr>
        <xdr:cNvSpPr/>
      </xdr:nvSpPr>
      <xdr:spPr>
        <a:xfrm>
          <a:off x="0" y="0"/>
          <a:ext cx="2218765" cy="7283824"/>
        </a:xfrm>
        <a:prstGeom prst="rect">
          <a:avLst/>
        </a:prstGeom>
        <a:solidFill>
          <a:schemeClr val="accent5">
            <a:lumMod val="75000"/>
          </a:schemeClr>
        </a:solidFill>
        <a:effectLst>
          <a:glow rad="63500">
            <a:schemeClr val="accent4">
              <a:satMod val="175000"/>
              <a:alpha val="40000"/>
            </a:schemeClr>
          </a:glow>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2</xdr:col>
      <xdr:colOff>190500</xdr:colOff>
      <xdr:row>0</xdr:row>
      <xdr:rowOff>0</xdr:rowOff>
    </xdr:from>
    <xdr:to>
      <xdr:col>37</xdr:col>
      <xdr:colOff>112057</xdr:colOff>
      <xdr:row>40</xdr:row>
      <xdr:rowOff>120951</xdr:rowOff>
    </xdr:to>
    <xdr:sp macro="" textlink="">
      <xdr:nvSpPr>
        <xdr:cNvPr id="9" name="Rectangle 8">
          <a:extLst>
            <a:ext uri="{FF2B5EF4-FFF2-40B4-BE49-F238E27FC236}">
              <a16:creationId xmlns:a16="http://schemas.microsoft.com/office/drawing/2014/main" id="{3AAEC247-2D64-466D-BF8A-ABF6356FFF8B}"/>
            </a:ext>
          </a:extLst>
        </xdr:cNvPr>
        <xdr:cNvSpPr/>
      </xdr:nvSpPr>
      <xdr:spPr>
        <a:xfrm>
          <a:off x="2218765" y="0"/>
          <a:ext cx="20697263" cy="7292716"/>
        </a:xfrm>
        <a:prstGeom prst="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cap="none" spc="0">
              <a:ln w="22225">
                <a:solidFill>
                  <a:schemeClr val="accent2"/>
                </a:solidFill>
                <a:prstDash val="solid"/>
              </a:ln>
              <a:solidFill>
                <a:schemeClr val="accent2">
                  <a:lumMod val="40000"/>
                  <a:lumOff val="60000"/>
                </a:schemeClr>
              </a:solidFill>
              <a:effectLst/>
            </a:rPr>
            <a:t>  </a:t>
          </a:r>
        </a:p>
      </xdr:txBody>
    </xdr:sp>
    <xdr:clientData/>
  </xdr:twoCellAnchor>
  <xdr:twoCellAnchor>
    <xdr:from>
      <xdr:col>0</xdr:col>
      <xdr:colOff>0</xdr:colOff>
      <xdr:row>2</xdr:row>
      <xdr:rowOff>68580</xdr:rowOff>
    </xdr:from>
    <xdr:to>
      <xdr:col>1</xdr:col>
      <xdr:colOff>1104900</xdr:colOff>
      <xdr:row>5</xdr:row>
      <xdr:rowOff>30480</xdr:rowOff>
    </xdr:to>
    <xdr:sp macro="" textlink="pivots!J5">
      <xdr:nvSpPr>
        <xdr:cNvPr id="11" name="Rectangle 10">
          <a:extLst>
            <a:ext uri="{FF2B5EF4-FFF2-40B4-BE49-F238E27FC236}">
              <a16:creationId xmlns:a16="http://schemas.microsoft.com/office/drawing/2014/main" id="{60297C8F-9090-E9C4-5256-514023EEAEAD}"/>
            </a:ext>
          </a:extLst>
        </xdr:cNvPr>
        <xdr:cNvSpPr/>
      </xdr:nvSpPr>
      <xdr:spPr>
        <a:xfrm>
          <a:off x="0" y="434340"/>
          <a:ext cx="1303020" cy="51054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6681D2C-0757-4C88-A90E-BA0DE73A4A19}" type="TxLink">
            <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rPr>
            <a:pPr algn="l"/>
            <a:t>2,400</a:t>
          </a:fld>
          <a:endParaRPr lang="en-US" sz="24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ndParaRPr>
        </a:p>
      </xdr:txBody>
    </xdr:sp>
    <xdr:clientData/>
  </xdr:twoCellAnchor>
  <xdr:twoCellAnchor>
    <xdr:from>
      <xdr:col>0</xdr:col>
      <xdr:colOff>0</xdr:colOff>
      <xdr:row>6</xdr:row>
      <xdr:rowOff>53340</xdr:rowOff>
    </xdr:from>
    <xdr:to>
      <xdr:col>1</xdr:col>
      <xdr:colOff>1158240</xdr:colOff>
      <xdr:row>9</xdr:row>
      <xdr:rowOff>15240</xdr:rowOff>
    </xdr:to>
    <xdr:sp macro="" textlink="pivots!K5">
      <xdr:nvSpPr>
        <xdr:cNvPr id="14" name="Rectangle 13">
          <a:extLst>
            <a:ext uri="{FF2B5EF4-FFF2-40B4-BE49-F238E27FC236}">
              <a16:creationId xmlns:a16="http://schemas.microsoft.com/office/drawing/2014/main" id="{F3495FFD-920D-43CD-992F-29A0D8F2B0CA}"/>
            </a:ext>
          </a:extLst>
        </xdr:cNvPr>
        <xdr:cNvSpPr/>
      </xdr:nvSpPr>
      <xdr:spPr>
        <a:xfrm>
          <a:off x="0" y="1150620"/>
          <a:ext cx="1356360" cy="51054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5B7AA0CC-04F8-4220-AE70-F406316B1DB9}" type="TxLink">
            <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rPr>
            <a:pPr marL="0" indent="0" algn="l"/>
            <a:t>11,997</a:t>
          </a:fld>
          <a:endPar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endParaRPr>
        </a:p>
      </xdr:txBody>
    </xdr:sp>
    <xdr:clientData/>
  </xdr:twoCellAnchor>
  <xdr:twoCellAnchor>
    <xdr:from>
      <xdr:col>0</xdr:col>
      <xdr:colOff>0</xdr:colOff>
      <xdr:row>10</xdr:row>
      <xdr:rowOff>83820</xdr:rowOff>
    </xdr:from>
    <xdr:to>
      <xdr:col>1</xdr:col>
      <xdr:colOff>1371600</xdr:colOff>
      <xdr:row>13</xdr:row>
      <xdr:rowOff>45720</xdr:rowOff>
    </xdr:to>
    <xdr:sp macro="" textlink="pivots!L5">
      <xdr:nvSpPr>
        <xdr:cNvPr id="17" name="Rectangle 16">
          <a:extLst>
            <a:ext uri="{FF2B5EF4-FFF2-40B4-BE49-F238E27FC236}">
              <a16:creationId xmlns:a16="http://schemas.microsoft.com/office/drawing/2014/main" id="{9436B48A-6E67-4A99-951A-19E3D68F1DF7}"/>
            </a:ext>
          </a:extLst>
        </xdr:cNvPr>
        <xdr:cNvSpPr/>
      </xdr:nvSpPr>
      <xdr:spPr>
        <a:xfrm>
          <a:off x="0" y="1912620"/>
          <a:ext cx="1569720" cy="51054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E3642F07-3941-4A50-B66B-CF9AE81D5E5C}" type="TxLink">
            <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rPr>
            <a:pPr marL="0" indent="0" algn="l"/>
            <a:t>$649.Ok</a:t>
          </a:fld>
          <a:endPar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endParaRPr>
        </a:p>
      </xdr:txBody>
    </xdr:sp>
    <xdr:clientData/>
  </xdr:twoCellAnchor>
  <xdr:twoCellAnchor>
    <xdr:from>
      <xdr:col>0</xdr:col>
      <xdr:colOff>129540</xdr:colOff>
      <xdr:row>14</xdr:row>
      <xdr:rowOff>45720</xdr:rowOff>
    </xdr:from>
    <xdr:to>
      <xdr:col>1</xdr:col>
      <xdr:colOff>1234440</xdr:colOff>
      <xdr:row>17</xdr:row>
      <xdr:rowOff>7620</xdr:rowOff>
    </xdr:to>
    <xdr:sp macro="" textlink="pivots!M5">
      <xdr:nvSpPr>
        <xdr:cNvPr id="19" name="Rectangle 18">
          <a:extLst>
            <a:ext uri="{FF2B5EF4-FFF2-40B4-BE49-F238E27FC236}">
              <a16:creationId xmlns:a16="http://schemas.microsoft.com/office/drawing/2014/main" id="{77AAAFB8-C994-4CF1-ABD6-019119BAE01D}"/>
            </a:ext>
          </a:extLst>
        </xdr:cNvPr>
        <xdr:cNvSpPr/>
      </xdr:nvSpPr>
      <xdr:spPr>
        <a:xfrm>
          <a:off x="129540" y="2606040"/>
          <a:ext cx="1303020" cy="51054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228DC5A0-016B-44D7-85F2-05336BDF374E}" type="TxLink">
            <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rPr>
            <a:pPr marL="0" indent="0" algn="l"/>
            <a:t>4.0</a:t>
          </a:fld>
          <a:endPar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endParaRPr>
        </a:p>
      </xdr:txBody>
    </xdr:sp>
    <xdr:clientData/>
  </xdr:twoCellAnchor>
  <xdr:twoCellAnchor>
    <xdr:from>
      <xdr:col>0</xdr:col>
      <xdr:colOff>121920</xdr:colOff>
      <xdr:row>18</xdr:row>
      <xdr:rowOff>30480</xdr:rowOff>
    </xdr:from>
    <xdr:to>
      <xdr:col>1</xdr:col>
      <xdr:colOff>1226820</xdr:colOff>
      <xdr:row>20</xdr:row>
      <xdr:rowOff>175260</xdr:rowOff>
    </xdr:to>
    <xdr:sp macro="" textlink="pivots!N5">
      <xdr:nvSpPr>
        <xdr:cNvPr id="20" name="Rectangle 19">
          <a:extLst>
            <a:ext uri="{FF2B5EF4-FFF2-40B4-BE49-F238E27FC236}">
              <a16:creationId xmlns:a16="http://schemas.microsoft.com/office/drawing/2014/main" id="{A686CAE3-CA3E-E550-0264-5721BE4BE167}"/>
            </a:ext>
          </a:extLst>
        </xdr:cNvPr>
        <xdr:cNvSpPr/>
      </xdr:nvSpPr>
      <xdr:spPr>
        <a:xfrm>
          <a:off x="121920" y="3322320"/>
          <a:ext cx="1303020" cy="510540"/>
        </a:xfrm>
        <a:prstGeom prst="rect">
          <a:avLst/>
        </a:pr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380634BA-658F-4A08-A28D-F796DEEF1351}" type="TxLink">
            <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rPr>
            <a:pPr marL="0" indent="0" algn="l"/>
            <a:t>2.3</a:t>
          </a:fld>
          <a:endParaRPr lang="en-US" sz="2400" b="1" i="0" u="none" strike="noStrike"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masis MT Pro Black" panose="02040A04050005020304" pitchFamily="18" charset="0"/>
            <a:ea typeface="+mn-ea"/>
            <a:cs typeface="+mn-cs"/>
          </a:endParaRPr>
        </a:p>
      </xdr:txBody>
    </xdr:sp>
    <xdr:clientData/>
  </xdr:twoCellAnchor>
  <xdr:twoCellAnchor>
    <xdr:from>
      <xdr:col>0</xdr:col>
      <xdr:colOff>0</xdr:colOff>
      <xdr:row>1</xdr:row>
      <xdr:rowOff>15240</xdr:rowOff>
    </xdr:from>
    <xdr:to>
      <xdr:col>1</xdr:col>
      <xdr:colOff>998220</xdr:colOff>
      <xdr:row>2</xdr:row>
      <xdr:rowOff>106680</xdr:rowOff>
    </xdr:to>
    <xdr:sp macro="" textlink="">
      <xdr:nvSpPr>
        <xdr:cNvPr id="21" name="TextBox 20">
          <a:extLst>
            <a:ext uri="{FF2B5EF4-FFF2-40B4-BE49-F238E27FC236}">
              <a16:creationId xmlns:a16="http://schemas.microsoft.com/office/drawing/2014/main" id="{EA5FA03D-F45F-C512-045A-F1C0E9D2FC37}"/>
            </a:ext>
          </a:extLst>
        </xdr:cNvPr>
        <xdr:cNvSpPr txBox="1"/>
      </xdr:nvSpPr>
      <xdr:spPr>
        <a:xfrm>
          <a:off x="0" y="198120"/>
          <a:ext cx="1196340" cy="274320"/>
        </a:xfrm>
        <a:custGeom>
          <a:avLst/>
          <a:gdLst>
            <a:gd name="csX0" fmla="*/ 0 w 1196340"/>
            <a:gd name="csY0" fmla="*/ 0 h 274320"/>
            <a:gd name="csX1" fmla="*/ 610133 w 1196340"/>
            <a:gd name="csY1" fmla="*/ 0 h 274320"/>
            <a:gd name="csX2" fmla="*/ 1196340 w 1196340"/>
            <a:gd name="csY2" fmla="*/ 0 h 274320"/>
            <a:gd name="csX3" fmla="*/ 1196340 w 1196340"/>
            <a:gd name="csY3" fmla="*/ 274320 h 274320"/>
            <a:gd name="csX4" fmla="*/ 598170 w 1196340"/>
            <a:gd name="csY4" fmla="*/ 274320 h 274320"/>
            <a:gd name="csX5" fmla="*/ 0 w 1196340"/>
            <a:gd name="csY5" fmla="*/ 274320 h 274320"/>
            <a:gd name="csX6" fmla="*/ 0 w 1196340"/>
            <a:gd name="csY6" fmla="*/ 0 h 27432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96340" h="274320" fill="none" extrusionOk="0">
              <a:moveTo>
                <a:pt x="0" y="0"/>
              </a:moveTo>
              <a:cubicBezTo>
                <a:pt x="166625" y="-46874"/>
                <a:pt x="309604" y="5118"/>
                <a:pt x="610133" y="0"/>
              </a:cubicBezTo>
              <a:cubicBezTo>
                <a:pt x="910662" y="-5118"/>
                <a:pt x="1039553" y="40347"/>
                <a:pt x="1196340" y="0"/>
              </a:cubicBezTo>
              <a:cubicBezTo>
                <a:pt x="1208984" y="97560"/>
                <a:pt x="1191781" y="198780"/>
                <a:pt x="1196340" y="274320"/>
              </a:cubicBezTo>
              <a:cubicBezTo>
                <a:pt x="1044300" y="309527"/>
                <a:pt x="840623" y="245803"/>
                <a:pt x="598170" y="274320"/>
              </a:cubicBezTo>
              <a:cubicBezTo>
                <a:pt x="355717" y="302837"/>
                <a:pt x="121984" y="248467"/>
                <a:pt x="0" y="274320"/>
              </a:cubicBezTo>
              <a:cubicBezTo>
                <a:pt x="-25763" y="199386"/>
                <a:pt x="17697" y="126534"/>
                <a:pt x="0" y="0"/>
              </a:cubicBezTo>
              <a:close/>
            </a:path>
            <a:path w="1196340" h="274320" stroke="0" extrusionOk="0">
              <a:moveTo>
                <a:pt x="0" y="0"/>
              </a:moveTo>
              <a:cubicBezTo>
                <a:pt x="299806" y="-14043"/>
                <a:pt x="426561" y="3605"/>
                <a:pt x="622097" y="0"/>
              </a:cubicBezTo>
              <a:cubicBezTo>
                <a:pt x="817633" y="-3605"/>
                <a:pt x="945249" y="36489"/>
                <a:pt x="1196340" y="0"/>
              </a:cubicBezTo>
              <a:cubicBezTo>
                <a:pt x="1213912" y="55608"/>
                <a:pt x="1187020" y="169252"/>
                <a:pt x="1196340" y="274320"/>
              </a:cubicBezTo>
              <a:cubicBezTo>
                <a:pt x="947374" y="318404"/>
                <a:pt x="863501" y="271080"/>
                <a:pt x="574243" y="274320"/>
              </a:cubicBezTo>
              <a:cubicBezTo>
                <a:pt x="284985" y="277560"/>
                <a:pt x="139253" y="244536"/>
                <a:pt x="0" y="274320"/>
              </a:cubicBezTo>
              <a:cubicBezTo>
                <a:pt x="-26897" y="138645"/>
                <a:pt x="872" y="71680"/>
                <a:pt x="0" y="0"/>
              </a:cubicBezTo>
              <a:close/>
            </a:path>
          </a:pathLst>
        </a:custGeom>
        <a:solidFill>
          <a:schemeClr val="accent5">
            <a:lumMod val="75000"/>
          </a:schemeClr>
        </a:solidFill>
        <a:ln w="9525" cmpd="sng">
          <a:solidFill>
            <a:schemeClr val="tx1"/>
          </a:solidFill>
          <a:extLst>
            <a:ext uri="{C807C97D-BFC1-408E-A445-0C87EB9F89A2}">
              <ask:lineSketchStyleProps xmlns:ask="http://schemas.microsoft.com/office/drawing/2018/sketchyshapes" sd="4252712168">
                <a:prstGeom prst="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threePt" dir="t"/>
          </a:scene3d>
          <a:sp3d extrusionH="57150">
            <a:bevelT w="38100" h="38100" prst="relaxedInset"/>
          </a:sp3d>
        </a:bodyPr>
        <a:lstStyle/>
        <a:p>
          <a:r>
            <a:rPr lang="en-US" sz="1100">
              <a:solidFill>
                <a:schemeClr val="bg2">
                  <a:lumMod val="10000"/>
                </a:schemeClr>
              </a:solidFill>
            </a:rPr>
            <a:t> 🛒</a:t>
          </a:r>
          <a:r>
            <a:rPr lang="en-US" sz="1400" b="1" u="none">
              <a:solidFill>
                <a:schemeClr val="bg2">
                  <a:lumMod val="10000"/>
                </a:schemeClr>
              </a:solidFill>
            </a:rPr>
            <a:t>ORDERS</a:t>
          </a:r>
        </a:p>
      </xdr:txBody>
    </xdr:sp>
    <xdr:clientData/>
  </xdr:twoCellAnchor>
  <xdr:twoCellAnchor>
    <xdr:from>
      <xdr:col>0</xdr:col>
      <xdr:colOff>0</xdr:colOff>
      <xdr:row>4</xdr:row>
      <xdr:rowOff>137160</xdr:rowOff>
    </xdr:from>
    <xdr:to>
      <xdr:col>1</xdr:col>
      <xdr:colOff>990600</xdr:colOff>
      <xdr:row>6</xdr:row>
      <xdr:rowOff>60960</xdr:rowOff>
    </xdr:to>
    <xdr:sp macro="" textlink="">
      <xdr:nvSpPr>
        <xdr:cNvPr id="25" name="TextBox 24">
          <a:extLst>
            <a:ext uri="{FF2B5EF4-FFF2-40B4-BE49-F238E27FC236}">
              <a16:creationId xmlns:a16="http://schemas.microsoft.com/office/drawing/2014/main" id="{1444173D-829D-93E2-15E9-34EDD29E15A8}"/>
            </a:ext>
          </a:extLst>
        </xdr:cNvPr>
        <xdr:cNvSpPr txBox="1"/>
      </xdr:nvSpPr>
      <xdr:spPr>
        <a:xfrm>
          <a:off x="0" y="868680"/>
          <a:ext cx="1188720" cy="289560"/>
        </a:xfrm>
        <a:custGeom>
          <a:avLst/>
          <a:gdLst>
            <a:gd name="csX0" fmla="*/ 0 w 1188720"/>
            <a:gd name="csY0" fmla="*/ 0 h 289560"/>
            <a:gd name="csX1" fmla="*/ 618134 w 1188720"/>
            <a:gd name="csY1" fmla="*/ 0 h 289560"/>
            <a:gd name="csX2" fmla="*/ 1188720 w 1188720"/>
            <a:gd name="csY2" fmla="*/ 0 h 289560"/>
            <a:gd name="csX3" fmla="*/ 1188720 w 1188720"/>
            <a:gd name="csY3" fmla="*/ 289560 h 289560"/>
            <a:gd name="csX4" fmla="*/ 618134 w 1188720"/>
            <a:gd name="csY4" fmla="*/ 289560 h 289560"/>
            <a:gd name="csX5" fmla="*/ 0 w 1188720"/>
            <a:gd name="csY5" fmla="*/ 289560 h 289560"/>
            <a:gd name="csX6" fmla="*/ 0 w 1188720"/>
            <a:gd name="csY6" fmla="*/ 0 h 289560"/>
          </a:gdLst>
          <a:ahLst/>
          <a:cxnLst>
            <a:cxn ang="0">
              <a:pos x="csX0" y="csY0"/>
            </a:cxn>
            <a:cxn ang="0">
              <a:pos x="csX1" y="csY1"/>
            </a:cxn>
            <a:cxn ang="0">
              <a:pos x="csX2" y="csY2"/>
            </a:cxn>
            <a:cxn ang="0">
              <a:pos x="csX3" y="csY3"/>
            </a:cxn>
            <a:cxn ang="0">
              <a:pos x="csX4" y="csY4"/>
            </a:cxn>
            <a:cxn ang="0">
              <a:pos x="csX5" y="csY5"/>
            </a:cxn>
            <a:cxn ang="0">
              <a:pos x="csX6" y="csY6"/>
            </a:cxn>
          </a:cxnLst>
          <a:rect l="l" t="t" r="r" b="b"/>
          <a:pathLst>
            <a:path w="1188720" h="289560" fill="none" extrusionOk="0">
              <a:moveTo>
                <a:pt x="0" y="0"/>
              </a:moveTo>
              <a:cubicBezTo>
                <a:pt x="248542" y="-41510"/>
                <a:pt x="483335" y="67156"/>
                <a:pt x="618134" y="0"/>
              </a:cubicBezTo>
              <a:cubicBezTo>
                <a:pt x="752933" y="-67156"/>
                <a:pt x="973564" y="56409"/>
                <a:pt x="1188720" y="0"/>
              </a:cubicBezTo>
              <a:cubicBezTo>
                <a:pt x="1189696" y="85971"/>
                <a:pt x="1168358" y="222824"/>
                <a:pt x="1188720" y="289560"/>
              </a:cubicBezTo>
              <a:cubicBezTo>
                <a:pt x="1005291" y="309516"/>
                <a:pt x="896360" y="260064"/>
                <a:pt x="618134" y="289560"/>
              </a:cubicBezTo>
              <a:cubicBezTo>
                <a:pt x="339908" y="319056"/>
                <a:pt x="193932" y="251999"/>
                <a:pt x="0" y="289560"/>
              </a:cubicBezTo>
              <a:cubicBezTo>
                <a:pt x="-2410" y="209126"/>
                <a:pt x="32861" y="117168"/>
                <a:pt x="0" y="0"/>
              </a:cubicBezTo>
              <a:close/>
            </a:path>
            <a:path w="1188720" h="289560" stroke="0" extrusionOk="0">
              <a:moveTo>
                <a:pt x="0" y="0"/>
              </a:moveTo>
              <a:cubicBezTo>
                <a:pt x="191683" y="-8825"/>
                <a:pt x="406912" y="41749"/>
                <a:pt x="618134" y="0"/>
              </a:cubicBezTo>
              <a:cubicBezTo>
                <a:pt x="829356" y="-41749"/>
                <a:pt x="1002147" y="57011"/>
                <a:pt x="1188720" y="0"/>
              </a:cubicBezTo>
              <a:cubicBezTo>
                <a:pt x="1215056" y="125642"/>
                <a:pt x="1185597" y="180533"/>
                <a:pt x="1188720" y="289560"/>
              </a:cubicBezTo>
              <a:cubicBezTo>
                <a:pt x="910249" y="291255"/>
                <a:pt x="782232" y="241225"/>
                <a:pt x="606247" y="289560"/>
              </a:cubicBezTo>
              <a:cubicBezTo>
                <a:pt x="430262" y="337895"/>
                <a:pt x="206134" y="287160"/>
                <a:pt x="0" y="289560"/>
              </a:cubicBezTo>
              <a:cubicBezTo>
                <a:pt x="-19227" y="223896"/>
                <a:pt x="18852" y="131135"/>
                <a:pt x="0" y="0"/>
              </a:cubicBezTo>
              <a:close/>
            </a:path>
          </a:pathLst>
        </a:custGeom>
        <a:solidFill>
          <a:schemeClr val="accent5">
            <a:lumMod val="75000"/>
          </a:schemeClr>
        </a:solidFill>
        <a:ln w="9525" cmpd="sng">
          <a:solidFill>
            <a:schemeClr val="tx1"/>
          </a:solidFill>
          <a:extLst>
            <a:ext uri="{C807C97D-BFC1-408E-A445-0C87EB9F89A2}">
              <ask:lineSketchStyleProps xmlns:ask="http://schemas.microsoft.com/office/drawing/2018/sketchyshapes" sd="3736306631">
                <a:prstGeom prst="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t>
          </a:r>
          <a:r>
            <a:rPr lang="en-US" sz="1400" b="1" u="none">
              <a:solidFill>
                <a:schemeClr val="bg2">
                  <a:lumMod val="10000"/>
                </a:schemeClr>
              </a:solidFill>
              <a:latin typeface="+mn-lt"/>
              <a:ea typeface="+mn-ea"/>
              <a:cs typeface="+mn-cs"/>
            </a:rPr>
            <a:t>Quantity</a:t>
          </a:r>
        </a:p>
      </xdr:txBody>
    </xdr:sp>
    <xdr:clientData/>
  </xdr:twoCellAnchor>
  <xdr:twoCellAnchor>
    <xdr:from>
      <xdr:col>0</xdr:col>
      <xdr:colOff>0</xdr:colOff>
      <xdr:row>9</xdr:row>
      <xdr:rowOff>7620</xdr:rowOff>
    </xdr:from>
    <xdr:to>
      <xdr:col>1</xdr:col>
      <xdr:colOff>1059180</xdr:colOff>
      <xdr:row>10</xdr:row>
      <xdr:rowOff>129540</xdr:rowOff>
    </xdr:to>
    <xdr:sp macro="" textlink="">
      <xdr:nvSpPr>
        <xdr:cNvPr id="26" name="TextBox 25">
          <a:extLst>
            <a:ext uri="{FF2B5EF4-FFF2-40B4-BE49-F238E27FC236}">
              <a16:creationId xmlns:a16="http://schemas.microsoft.com/office/drawing/2014/main" id="{8506E13B-177F-D450-608F-9514CC8C3371}"/>
            </a:ext>
          </a:extLst>
        </xdr:cNvPr>
        <xdr:cNvSpPr txBox="1"/>
      </xdr:nvSpPr>
      <xdr:spPr>
        <a:xfrm>
          <a:off x="0" y="1653540"/>
          <a:ext cx="1257300" cy="304800"/>
        </a:xfrm>
        <a:custGeom>
          <a:avLst/>
          <a:gdLst>
            <a:gd name="csX0" fmla="*/ 0 w 1257300"/>
            <a:gd name="csY0" fmla="*/ 0 h 304800"/>
            <a:gd name="csX1" fmla="*/ 381381 w 1257300"/>
            <a:gd name="csY1" fmla="*/ 0 h 304800"/>
            <a:gd name="csX2" fmla="*/ 825627 w 1257300"/>
            <a:gd name="csY2" fmla="*/ 0 h 304800"/>
            <a:gd name="csX3" fmla="*/ 1257300 w 1257300"/>
            <a:gd name="csY3" fmla="*/ 0 h 304800"/>
            <a:gd name="csX4" fmla="*/ 1257300 w 1257300"/>
            <a:gd name="csY4" fmla="*/ 304800 h 304800"/>
            <a:gd name="csX5" fmla="*/ 875919 w 1257300"/>
            <a:gd name="csY5" fmla="*/ 304800 h 304800"/>
            <a:gd name="csX6" fmla="*/ 469392 w 1257300"/>
            <a:gd name="csY6" fmla="*/ 304800 h 304800"/>
            <a:gd name="csX7" fmla="*/ 0 w 1257300"/>
            <a:gd name="csY7" fmla="*/ 304800 h 304800"/>
            <a:gd name="csX8" fmla="*/ 0 w 1257300"/>
            <a:gd name="csY8" fmla="*/ 0 h 3048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1257300" h="304800" fill="none" extrusionOk="0">
              <a:moveTo>
                <a:pt x="0" y="0"/>
              </a:moveTo>
              <a:cubicBezTo>
                <a:pt x="171889" y="-8755"/>
                <a:pt x="220066" y="10262"/>
                <a:pt x="381381" y="0"/>
              </a:cubicBezTo>
              <a:cubicBezTo>
                <a:pt x="542696" y="-10262"/>
                <a:pt x="723902" y="7019"/>
                <a:pt x="825627" y="0"/>
              </a:cubicBezTo>
              <a:cubicBezTo>
                <a:pt x="927352" y="-7019"/>
                <a:pt x="1074697" y="41282"/>
                <a:pt x="1257300" y="0"/>
              </a:cubicBezTo>
              <a:cubicBezTo>
                <a:pt x="1280846" y="108740"/>
                <a:pt x="1227129" y="159649"/>
                <a:pt x="1257300" y="304800"/>
              </a:cubicBezTo>
              <a:cubicBezTo>
                <a:pt x="1127260" y="337737"/>
                <a:pt x="1013538" y="268883"/>
                <a:pt x="875919" y="304800"/>
              </a:cubicBezTo>
              <a:cubicBezTo>
                <a:pt x="738300" y="340717"/>
                <a:pt x="580992" y="264616"/>
                <a:pt x="469392" y="304800"/>
              </a:cubicBezTo>
              <a:cubicBezTo>
                <a:pt x="357792" y="344984"/>
                <a:pt x="215581" y="273264"/>
                <a:pt x="0" y="304800"/>
              </a:cubicBezTo>
              <a:cubicBezTo>
                <a:pt x="-19160" y="233366"/>
                <a:pt x="6517" y="62394"/>
                <a:pt x="0" y="0"/>
              </a:cubicBezTo>
              <a:close/>
            </a:path>
            <a:path w="1257300" h="304800" stroke="0" extrusionOk="0">
              <a:moveTo>
                <a:pt x="0" y="0"/>
              </a:moveTo>
              <a:cubicBezTo>
                <a:pt x="200945" y="-37883"/>
                <a:pt x="218584" y="6408"/>
                <a:pt x="419100" y="0"/>
              </a:cubicBezTo>
              <a:cubicBezTo>
                <a:pt x="619616" y="-6408"/>
                <a:pt x="719581" y="10617"/>
                <a:pt x="813054" y="0"/>
              </a:cubicBezTo>
              <a:cubicBezTo>
                <a:pt x="906527" y="-10617"/>
                <a:pt x="1101269" y="41840"/>
                <a:pt x="1257300" y="0"/>
              </a:cubicBezTo>
              <a:cubicBezTo>
                <a:pt x="1282801" y="132791"/>
                <a:pt x="1238138" y="209760"/>
                <a:pt x="1257300" y="304800"/>
              </a:cubicBezTo>
              <a:cubicBezTo>
                <a:pt x="1095238" y="324708"/>
                <a:pt x="1023240" y="272192"/>
                <a:pt x="850773" y="304800"/>
              </a:cubicBezTo>
              <a:cubicBezTo>
                <a:pt x="678306" y="337408"/>
                <a:pt x="542178" y="258110"/>
                <a:pt x="456819" y="304800"/>
              </a:cubicBezTo>
              <a:cubicBezTo>
                <a:pt x="371460" y="351490"/>
                <a:pt x="184780" y="269098"/>
                <a:pt x="0" y="304800"/>
              </a:cubicBezTo>
              <a:cubicBezTo>
                <a:pt x="-12418" y="233812"/>
                <a:pt x="21687" y="136141"/>
                <a:pt x="0" y="0"/>
              </a:cubicBezTo>
              <a:close/>
            </a:path>
          </a:pathLst>
        </a:custGeom>
        <a:solidFill>
          <a:schemeClr val="accent5">
            <a:lumMod val="75000"/>
          </a:schemeClr>
        </a:solidFill>
        <a:ln w="9525" cmpd="sng">
          <a:solidFill>
            <a:schemeClr val="tx1"/>
          </a:solidFill>
          <a:extLst>
            <a:ext uri="{C807C97D-BFC1-408E-A445-0C87EB9F89A2}">
              <ask:lineSketchStyleProps xmlns:ask="http://schemas.microsoft.com/office/drawing/2018/sketchyshapes" sd="245396394">
                <a:prstGeom prst="rect">
                  <a:avLst/>
                </a:prstGeom>
                <ask:type>
                  <ask:lineSketchScribbl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400" b="1">
              <a:solidFill>
                <a:schemeClr val="dk1"/>
              </a:solidFill>
              <a:latin typeface="+mn-lt"/>
              <a:ea typeface="+mn-ea"/>
              <a:cs typeface="+mn-cs"/>
            </a:rPr>
            <a:t>Amount</a:t>
          </a:r>
        </a:p>
      </xdr:txBody>
    </xdr:sp>
    <xdr:clientData/>
  </xdr:twoCellAnchor>
  <xdr:twoCellAnchor>
    <xdr:from>
      <xdr:col>0</xdr:col>
      <xdr:colOff>0</xdr:colOff>
      <xdr:row>12</xdr:row>
      <xdr:rowOff>175260</xdr:rowOff>
    </xdr:from>
    <xdr:to>
      <xdr:col>1</xdr:col>
      <xdr:colOff>1089660</xdr:colOff>
      <xdr:row>14</xdr:row>
      <xdr:rowOff>76200</xdr:rowOff>
    </xdr:to>
    <xdr:sp macro="" textlink="">
      <xdr:nvSpPr>
        <xdr:cNvPr id="27" name="TextBox 26">
          <a:extLst>
            <a:ext uri="{FF2B5EF4-FFF2-40B4-BE49-F238E27FC236}">
              <a16:creationId xmlns:a16="http://schemas.microsoft.com/office/drawing/2014/main" id="{EE9B2BFE-E854-6D6A-E370-8D9BA2217869}"/>
            </a:ext>
          </a:extLst>
        </xdr:cNvPr>
        <xdr:cNvSpPr txBox="1"/>
      </xdr:nvSpPr>
      <xdr:spPr>
        <a:xfrm>
          <a:off x="0" y="2369820"/>
          <a:ext cx="1287780" cy="266700"/>
        </a:xfrm>
        <a:solidFill>
          <a:schemeClr val="accent5">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400" b="1">
              <a:solidFill>
                <a:schemeClr val="dk1"/>
              </a:solidFill>
              <a:latin typeface="+mn-lt"/>
              <a:ea typeface="+mn-ea"/>
              <a:cs typeface="+mn-cs"/>
            </a:rPr>
            <a:t>Avg. rating</a:t>
          </a:r>
        </a:p>
      </xdr:txBody>
    </xdr:sp>
    <xdr:clientData/>
  </xdr:twoCellAnchor>
  <xdr:twoCellAnchor>
    <xdr:from>
      <xdr:col>0</xdr:col>
      <xdr:colOff>0</xdr:colOff>
      <xdr:row>16</xdr:row>
      <xdr:rowOff>106680</xdr:rowOff>
    </xdr:from>
    <xdr:to>
      <xdr:col>1</xdr:col>
      <xdr:colOff>982980</xdr:colOff>
      <xdr:row>18</xdr:row>
      <xdr:rowOff>83820</xdr:rowOff>
    </xdr:to>
    <xdr:sp macro="" textlink="">
      <xdr:nvSpPr>
        <xdr:cNvPr id="28" name="TextBox 27">
          <a:extLst>
            <a:ext uri="{FF2B5EF4-FFF2-40B4-BE49-F238E27FC236}">
              <a16:creationId xmlns:a16="http://schemas.microsoft.com/office/drawing/2014/main" id="{57A5DD5A-CFEF-2E83-EC07-119B031B6698}"/>
            </a:ext>
          </a:extLst>
        </xdr:cNvPr>
        <xdr:cNvSpPr txBox="1"/>
      </xdr:nvSpPr>
      <xdr:spPr>
        <a:xfrm>
          <a:off x="0" y="3032760"/>
          <a:ext cx="1181100" cy="342900"/>
        </a:xfrm>
        <a:solidFill>
          <a:schemeClr val="accent5">
            <a:lumMod val="75000"/>
          </a:schemeClr>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a:solidFill>
                <a:schemeClr val="dk1"/>
              </a:solidFill>
              <a:latin typeface="+mn-lt"/>
              <a:ea typeface="+mn-ea"/>
              <a:cs typeface="+mn-cs"/>
            </a:rPr>
            <a:t>🗓️</a:t>
          </a:r>
          <a:r>
            <a:rPr lang="en-US" sz="1400" b="1">
              <a:solidFill>
                <a:schemeClr val="dk1"/>
              </a:solidFill>
              <a:latin typeface="+mn-lt"/>
              <a:ea typeface="+mn-ea"/>
              <a:cs typeface="+mn-cs"/>
            </a:rPr>
            <a:t>Avg. Days</a:t>
          </a:r>
        </a:p>
      </xdr:txBody>
    </xdr:sp>
    <xdr:clientData/>
  </xdr:twoCellAnchor>
  <xdr:twoCellAnchor>
    <xdr:from>
      <xdr:col>3</xdr:col>
      <xdr:colOff>0</xdr:colOff>
      <xdr:row>2</xdr:row>
      <xdr:rowOff>0</xdr:rowOff>
    </xdr:from>
    <xdr:to>
      <xdr:col>10</xdr:col>
      <xdr:colOff>304800</xdr:colOff>
      <xdr:row>17</xdr:row>
      <xdr:rowOff>7620</xdr:rowOff>
    </xdr:to>
    <xdr:graphicFrame macro="">
      <xdr:nvGraphicFramePr>
        <xdr:cNvPr id="29" name="Chart 28">
          <a:extLst>
            <a:ext uri="{FF2B5EF4-FFF2-40B4-BE49-F238E27FC236}">
              <a16:creationId xmlns:a16="http://schemas.microsoft.com/office/drawing/2014/main" id="{59D0C1B2-E4B9-4911-BFBA-9C6661F48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104884</xdr:colOff>
      <xdr:row>19</xdr:row>
      <xdr:rowOff>91924</xdr:rowOff>
    </xdr:from>
    <xdr:to>
      <xdr:col>10</xdr:col>
      <xdr:colOff>430207</xdr:colOff>
      <xdr:row>34</xdr:row>
      <xdr:rowOff>127624</xdr:rowOff>
    </xdr:to>
    <xdr:graphicFrame macro="">
      <xdr:nvGraphicFramePr>
        <xdr:cNvPr id="38" name="Chart 37">
          <a:extLst>
            <a:ext uri="{FF2B5EF4-FFF2-40B4-BE49-F238E27FC236}">
              <a16:creationId xmlns:a16="http://schemas.microsoft.com/office/drawing/2014/main" id="{2637A099-08A6-44C9-A793-059EF49D2E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592667</xdr:colOff>
      <xdr:row>0</xdr:row>
      <xdr:rowOff>0</xdr:rowOff>
    </xdr:from>
    <xdr:to>
      <xdr:col>30</xdr:col>
      <xdr:colOff>137584</xdr:colOff>
      <xdr:row>36</xdr:row>
      <xdr:rowOff>169333</xdr:rowOff>
    </xdr:to>
    <xdr:graphicFrame macro="">
      <xdr:nvGraphicFramePr>
        <xdr:cNvPr id="42" name="Chart 41">
          <a:extLst>
            <a:ext uri="{FF2B5EF4-FFF2-40B4-BE49-F238E27FC236}">
              <a16:creationId xmlns:a16="http://schemas.microsoft.com/office/drawing/2014/main" id="{FE3CF83E-D690-4395-B73F-366F670EBC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97669</xdr:colOff>
      <xdr:row>0</xdr:row>
      <xdr:rowOff>171147</xdr:rowOff>
    </xdr:from>
    <xdr:to>
      <xdr:col>20</xdr:col>
      <xdr:colOff>511327</xdr:colOff>
      <xdr:row>14</xdr:row>
      <xdr:rowOff>2116</xdr:rowOff>
    </xdr:to>
    <xdr:pic>
      <xdr:nvPicPr>
        <xdr:cNvPr id="45" name="Picture 44">
          <a:extLst>
            <a:ext uri="{FF2B5EF4-FFF2-40B4-BE49-F238E27FC236}">
              <a16:creationId xmlns:a16="http://schemas.microsoft.com/office/drawing/2014/main" id="{6F921801-9DE6-C5C0-321F-B1BC3497764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41419" y="171147"/>
          <a:ext cx="5938158" cy="2349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113279</xdr:colOff>
      <xdr:row>21</xdr:row>
      <xdr:rowOff>69821</xdr:rowOff>
    </xdr:from>
    <xdr:to>
      <xdr:col>27</xdr:col>
      <xdr:colOff>104571</xdr:colOff>
      <xdr:row>31</xdr:row>
      <xdr:rowOff>37165</xdr:rowOff>
    </xdr:to>
    <xdr:graphicFrame macro="">
      <xdr:nvGraphicFramePr>
        <xdr:cNvPr id="47" name="Chart 46">
          <a:extLst>
            <a:ext uri="{FF2B5EF4-FFF2-40B4-BE49-F238E27FC236}">
              <a16:creationId xmlns:a16="http://schemas.microsoft.com/office/drawing/2014/main" id="{C84C613B-C8F7-4707-B7BB-4687FBEE0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405323</xdr:colOff>
      <xdr:row>14</xdr:row>
      <xdr:rowOff>121859</xdr:rowOff>
    </xdr:from>
    <xdr:to>
      <xdr:col>18</xdr:col>
      <xdr:colOff>360438</xdr:colOff>
      <xdr:row>36</xdr:row>
      <xdr:rowOff>110974</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9D939630-D1B0-4FAD-9A8E-8708A0CD419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287963" y="2682179"/>
              <a:ext cx="5441515" cy="40124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130157</xdr:colOff>
      <xdr:row>19</xdr:row>
      <xdr:rowOff>127001</xdr:rowOff>
    </xdr:from>
    <xdr:to>
      <xdr:col>18</xdr:col>
      <xdr:colOff>334816</xdr:colOff>
      <xdr:row>27</xdr:row>
      <xdr:rowOff>40411</xdr:rowOff>
    </xdr:to>
    <mc:AlternateContent xmlns:mc="http://schemas.openxmlformats.org/markup-compatibility/2006">
      <mc:Choice xmlns:cx4="http://schemas.microsoft.com/office/drawing/2016/5/10/chartex" Requires="cx4">
        <xdr:graphicFrame macro="">
          <xdr:nvGraphicFramePr>
            <xdr:cNvPr id="51" name="Chart 50">
              <a:extLst>
                <a:ext uri="{FF2B5EF4-FFF2-40B4-BE49-F238E27FC236}">
                  <a16:creationId xmlns:a16="http://schemas.microsoft.com/office/drawing/2014/main" id="{0399C3D1-DBE5-44EE-87AF-76B2DFA241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670397" y="3601721"/>
              <a:ext cx="2033459" cy="1376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29261</xdr:colOff>
      <xdr:row>31</xdr:row>
      <xdr:rowOff>21690</xdr:rowOff>
    </xdr:from>
    <xdr:to>
      <xdr:col>1</xdr:col>
      <xdr:colOff>1714875</xdr:colOff>
      <xdr:row>40</xdr:row>
      <xdr:rowOff>0</xdr:rowOff>
    </xdr:to>
    <mc:AlternateContent xmlns:mc="http://schemas.openxmlformats.org/markup-compatibility/2006">
      <mc:Choice xmlns:a14="http://schemas.microsoft.com/office/drawing/2010/main" Requires="a14">
        <xdr:graphicFrame macro="">
          <xdr:nvGraphicFramePr>
            <xdr:cNvPr id="4" name="Gender Value">
              <a:extLst>
                <a:ext uri="{FF2B5EF4-FFF2-40B4-BE49-F238E27FC236}">
                  <a16:creationId xmlns:a16="http://schemas.microsoft.com/office/drawing/2014/main" id="{8D2DC630-DB6A-4AEA-B688-9E0961BE3C21}"/>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29261" y="5579808"/>
              <a:ext cx="1887320" cy="15919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87158</xdr:colOff>
      <xdr:row>20</xdr:row>
      <xdr:rowOff>102722</xdr:rowOff>
    </xdr:from>
    <xdr:to>
      <xdr:col>1</xdr:col>
      <xdr:colOff>1714875</xdr:colOff>
      <xdr:row>30</xdr:row>
      <xdr:rowOff>117115</xdr:rowOff>
    </xdr:to>
    <mc:AlternateContent xmlns:mc="http://schemas.openxmlformats.org/markup-compatibility/2006">
      <mc:Choice xmlns:a14="http://schemas.microsoft.com/office/drawing/2010/main" Requires="a14">
        <xdr:graphicFrame macro="">
          <xdr:nvGraphicFramePr>
            <xdr:cNvPr id="3" name="Order Mode">
              <a:extLst>
                <a:ext uri="{FF2B5EF4-FFF2-40B4-BE49-F238E27FC236}">
                  <a16:creationId xmlns:a16="http://schemas.microsoft.com/office/drawing/2014/main" id="{6BA7ABAA-7F35-4298-A6EE-A089E22226F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87158" y="3688604"/>
              <a:ext cx="1829423" cy="18073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0</xdr:row>
      <xdr:rowOff>171147</xdr:rowOff>
    </xdr:from>
    <xdr:to>
      <xdr:col>8</xdr:col>
      <xdr:colOff>0</xdr:colOff>
      <xdr:row>2</xdr:row>
      <xdr:rowOff>68580</xdr:rowOff>
    </xdr:to>
    <xdr:sp macro="" textlink="">
      <xdr:nvSpPr>
        <xdr:cNvPr id="7" name="Rectangle: Rounded Corners 6">
          <a:extLst>
            <a:ext uri="{FF2B5EF4-FFF2-40B4-BE49-F238E27FC236}">
              <a16:creationId xmlns:a16="http://schemas.microsoft.com/office/drawing/2014/main" id="{D47E9432-5785-2EF2-240E-9C44A1221C1C}"/>
            </a:ext>
          </a:extLst>
        </xdr:cNvPr>
        <xdr:cNvSpPr/>
      </xdr:nvSpPr>
      <xdr:spPr>
        <a:xfrm>
          <a:off x="3440206" y="171147"/>
          <a:ext cx="1815353" cy="25602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LAST</a:t>
          </a:r>
          <a:r>
            <a:rPr lang="en-US" sz="1200" b="1" baseline="0">
              <a:solidFill>
                <a:sysClr val="windowText" lastClr="000000"/>
              </a:solidFill>
            </a:rPr>
            <a:t> 13 WEEKS TREND</a:t>
          </a:r>
          <a:endParaRPr lang="en-US" sz="12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129540</xdr:colOff>
      <xdr:row>14</xdr:row>
      <xdr:rowOff>91440</xdr:rowOff>
    </xdr:from>
    <xdr:to>
      <xdr:col>14</xdr:col>
      <xdr:colOff>297522</xdr:colOff>
      <xdr:row>24</xdr:row>
      <xdr:rowOff>83978</xdr:rowOff>
    </xdr:to>
    <xdr:pic>
      <xdr:nvPicPr>
        <xdr:cNvPr id="9" name="Picture 8">
          <a:extLst>
            <a:ext uri="{FF2B5EF4-FFF2-40B4-BE49-F238E27FC236}">
              <a16:creationId xmlns:a16="http://schemas.microsoft.com/office/drawing/2014/main" id="{288509DC-3AFD-4022-BA0B-695E3C0EEF0F}"/>
            </a:ext>
          </a:extLst>
        </xdr:cNvPr>
        <xdr:cNvPicPr>
          <a:picLocks noChangeAspect="1"/>
        </xdr:cNvPicPr>
      </xdr:nvPicPr>
      <xdr:blipFill>
        <a:blip xmlns:r="http://schemas.openxmlformats.org/officeDocument/2006/relationships" r:embed="rId1"/>
        <a:stretch>
          <a:fillRect/>
        </a:stretch>
      </xdr:blipFill>
      <xdr:spPr>
        <a:xfrm>
          <a:off x="5768340" y="2651760"/>
          <a:ext cx="3947502" cy="182133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16.044607523145" createdVersion="8" refreshedVersion="8" minRefreshableVersion="3" recordCount="2400" xr:uid="{E7C38B6E-70B8-45C1-91B2-D22F34E19EDA}">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s>
  <extLst>
    <ext xmlns:x14="http://schemas.microsoft.com/office/spreadsheetml/2009/9/main" uri="{725AE2AE-9491-48be-B2B4-4EB974FC3084}">
      <x14:pivotCacheDefinition pivotCacheId="1176657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s v=""/>
    <x v="0"/>
    <n v="4"/>
    <x v="0"/>
    <x v="0"/>
    <x v="0"/>
    <x v="0"/>
    <x v="0"/>
  </r>
  <r>
    <s v="TX500002"/>
    <x v="1"/>
    <x v="1"/>
    <n v="30.6"/>
    <n v="61.2"/>
    <d v="2025-01-01T00:00:00"/>
    <d v="2025-01-03T00:00:00"/>
    <s v="M"/>
    <x v="0"/>
    <n v="4"/>
    <x v="0"/>
    <x v="1"/>
    <x v="1"/>
    <x v="0"/>
    <x v="1"/>
  </r>
  <r>
    <s v="TX500003"/>
    <x v="2"/>
    <x v="2"/>
    <n v="109.4"/>
    <n v="328.20000000000005"/>
    <d v="2025-01-01T00:00:00"/>
    <d v="2025-01-04T00:00:00"/>
    <s v="F"/>
    <x v="0"/>
    <n v="3"/>
    <x v="0"/>
    <x v="2"/>
    <x v="2"/>
    <x v="0"/>
    <x v="2"/>
  </r>
  <r>
    <s v="TX500004"/>
    <x v="3"/>
    <x v="3"/>
    <n v="37.700000000000003"/>
    <n v="263.90000000000003"/>
    <d v="2025-01-01T00:00:00"/>
    <d v="2025-01-02T00:00:00"/>
    <s v="F"/>
    <x v="0"/>
    <n v="4"/>
    <x v="0"/>
    <x v="2"/>
    <x v="3"/>
    <x v="0"/>
    <x v="2"/>
  </r>
  <r>
    <s v="TX500005"/>
    <x v="4"/>
    <x v="2"/>
    <n v="56.7"/>
    <n v="170.10000000000002"/>
    <d v="2025-01-01T00:00:00"/>
    <d v="2025-01-04T00:00:00"/>
    <s v="F"/>
    <x v="0"/>
    <n v="5"/>
    <x v="0"/>
    <x v="3"/>
    <x v="2"/>
    <x v="0"/>
    <x v="2"/>
  </r>
  <r>
    <s v="TX500006"/>
    <x v="1"/>
    <x v="4"/>
    <n v="83.5"/>
    <n v="1002"/>
    <d v="2025-01-01T00:00:00"/>
    <d v="2025-01-04T00:00:00"/>
    <s v="M"/>
    <x v="1"/>
    <n v="4"/>
    <x v="0"/>
    <x v="3"/>
    <x v="2"/>
    <x v="0"/>
    <x v="1"/>
  </r>
  <r>
    <s v="TX500007"/>
    <x v="5"/>
    <x v="0"/>
    <n v="55.3"/>
    <n v="55.3"/>
    <d v="2025-01-01T00:00:00"/>
    <d v="2025-01-02T00:00:00"/>
    <s v="F"/>
    <x v="0"/>
    <n v="4"/>
    <x v="0"/>
    <x v="3"/>
    <x v="3"/>
    <x v="0"/>
    <x v="2"/>
  </r>
  <r>
    <s v="TX500008"/>
    <x v="6"/>
    <x v="1"/>
    <n v="40.299999999999997"/>
    <n v="80.599999999999994"/>
    <d v="2025-01-01T00:00:00"/>
    <d v="2025-01-02T00:00:00"/>
    <s v="M"/>
    <x v="2"/>
    <n v="5"/>
    <x v="0"/>
    <x v="3"/>
    <x v="3"/>
    <x v="0"/>
    <x v="1"/>
  </r>
  <r>
    <s v="TX500009"/>
    <x v="7"/>
    <x v="5"/>
    <n v="35.700000000000003"/>
    <n v="392.70000000000005"/>
    <d v="2025-01-01T00:00:00"/>
    <d v="2025-01-02T00:00:00"/>
    <s v="F"/>
    <x v="0"/>
    <n v="4"/>
    <x v="0"/>
    <x v="3"/>
    <x v="3"/>
    <x v="0"/>
    <x v="2"/>
  </r>
  <r>
    <s v="TX500010"/>
    <x v="8"/>
    <x v="3"/>
    <n v="22.4"/>
    <n v="156.79999999999998"/>
    <d v="2025-01-01T00:00:00"/>
    <d v="2025-01-04T00:00:00"/>
    <s v="M"/>
    <x v="0"/>
    <n v="3"/>
    <x v="0"/>
    <x v="3"/>
    <x v="2"/>
    <x v="0"/>
    <x v="1"/>
  </r>
  <r>
    <s v="TX500011"/>
    <x v="9"/>
    <x v="1"/>
    <n v="54.4"/>
    <n v="108.8"/>
    <d v="2025-01-01T00:00:00"/>
    <d v="2025-01-07T00:00:00"/>
    <s v="F"/>
    <x v="0"/>
    <n v="4"/>
    <x v="0"/>
    <x v="3"/>
    <x v="4"/>
    <x v="0"/>
    <x v="2"/>
  </r>
  <r>
    <s v="TX500012"/>
    <x v="9"/>
    <x v="1"/>
    <n v="49"/>
    <n v="98"/>
    <d v="2025-01-01T00:00:00"/>
    <d v="2025-01-03T00:00:00"/>
    <s v="F"/>
    <x v="2"/>
    <n v="3"/>
    <x v="0"/>
    <x v="3"/>
    <x v="1"/>
    <x v="0"/>
    <x v="2"/>
  </r>
  <r>
    <s v="TX500013"/>
    <x v="5"/>
    <x v="3"/>
    <n v="118.6"/>
    <n v="830.19999999999993"/>
    <d v="2025-01-01T00:00:00"/>
    <d v="2025-01-05T00:00:00"/>
    <s v="F"/>
    <x v="1"/>
    <n v="4"/>
    <x v="0"/>
    <x v="4"/>
    <x v="5"/>
    <x v="0"/>
    <x v="2"/>
  </r>
  <r>
    <s v="TX500014"/>
    <x v="6"/>
    <x v="6"/>
    <n v="88.4"/>
    <n v="2386.8000000000002"/>
    <d v="2025-01-01T00:00:00"/>
    <d v="2025-01-08T00:00:00"/>
    <s v="M"/>
    <x v="3"/>
    <n v="4"/>
    <x v="0"/>
    <x v="5"/>
    <x v="6"/>
    <x v="0"/>
    <x v="1"/>
  </r>
  <r>
    <s v="TX500015"/>
    <x v="10"/>
    <x v="0"/>
    <n v="66.7"/>
    <n v="66.7"/>
    <d v="2025-01-01T00:00:00"/>
    <d v="2025-01-04T00:00:00"/>
    <s v="M"/>
    <x v="0"/>
    <n v="4"/>
    <x v="0"/>
    <x v="6"/>
    <x v="2"/>
    <x v="0"/>
    <x v="1"/>
  </r>
  <r>
    <s v="TX500016"/>
    <x v="9"/>
    <x v="7"/>
    <n v="30.9"/>
    <n v="309"/>
    <d v="2025-01-01T00:00:00"/>
    <d v="2025-01-02T00:00:00"/>
    <s v="M"/>
    <x v="1"/>
    <n v="5"/>
    <x v="0"/>
    <x v="6"/>
    <x v="3"/>
    <x v="0"/>
    <x v="1"/>
  </r>
  <r>
    <s v="TX500017"/>
    <x v="4"/>
    <x v="2"/>
    <n v="31.1"/>
    <n v="93.300000000000011"/>
    <d v="2025-01-01T00:00:00"/>
    <d v="2025-01-02T00:00:00"/>
    <s v="F"/>
    <x v="0"/>
    <n v="3"/>
    <x v="0"/>
    <x v="6"/>
    <x v="3"/>
    <x v="0"/>
    <x v="2"/>
  </r>
  <r>
    <s v="TX500018"/>
    <x v="7"/>
    <x v="2"/>
    <n v="36.6"/>
    <n v="109.80000000000001"/>
    <d v="2025-01-01T00:00:00"/>
    <d v="2025-01-04T00:00:00"/>
    <s v="F"/>
    <x v="0"/>
    <n v="4"/>
    <x v="0"/>
    <x v="7"/>
    <x v="2"/>
    <x v="0"/>
    <x v="2"/>
  </r>
  <r>
    <s v="TX500019"/>
    <x v="6"/>
    <x v="8"/>
    <n v="51.1"/>
    <n v="408.8"/>
    <d v="2025-01-01T00:00:00"/>
    <d v="2025-01-04T00:00:00"/>
    <s v="F"/>
    <x v="2"/>
    <n v="1"/>
    <x v="0"/>
    <x v="7"/>
    <x v="2"/>
    <x v="0"/>
    <x v="2"/>
  </r>
  <r>
    <s v="TX500020"/>
    <x v="9"/>
    <x v="0"/>
    <n v="25.2"/>
    <n v="25.2"/>
    <d v="2025-01-01T00:00:00"/>
    <d v="2025-01-02T00:00:00"/>
    <s v="F"/>
    <x v="1"/>
    <n v="5"/>
    <x v="0"/>
    <x v="8"/>
    <x v="3"/>
    <x v="0"/>
    <x v="2"/>
  </r>
  <r>
    <s v="TX500021"/>
    <x v="9"/>
    <x v="9"/>
    <n v="43.8"/>
    <n v="219"/>
    <d v="2025-01-01T00:00:00"/>
    <d v="2025-01-04T00:00:00"/>
    <s v="F"/>
    <x v="2"/>
    <n v="4"/>
    <x v="0"/>
    <x v="8"/>
    <x v="2"/>
    <x v="0"/>
    <x v="2"/>
  </r>
  <r>
    <s v="TX500022"/>
    <x v="8"/>
    <x v="4"/>
    <n v="46.7"/>
    <n v="560.40000000000009"/>
    <d v="2025-01-01T00:00:00"/>
    <d v="2025-01-02T00:00:00"/>
    <s v="F"/>
    <x v="1"/>
    <n v="3"/>
    <x v="0"/>
    <x v="8"/>
    <x v="3"/>
    <x v="0"/>
    <x v="2"/>
  </r>
  <r>
    <s v="TX500023"/>
    <x v="3"/>
    <x v="10"/>
    <n v="79.900000000000006"/>
    <n v="1518.1000000000001"/>
    <d v="2025-01-01T00:00:00"/>
    <d v="2025-01-02T00:00:00"/>
    <s v="M"/>
    <x v="0"/>
    <n v="5"/>
    <x v="0"/>
    <x v="8"/>
    <x v="3"/>
    <x v="0"/>
    <x v="1"/>
  </r>
  <r>
    <s v="TX500024"/>
    <x v="11"/>
    <x v="8"/>
    <n v="26.4"/>
    <n v="211.2"/>
    <d v="2025-01-01T00:00:00"/>
    <d v="2025-01-02T00:00:00"/>
    <s v="F"/>
    <x v="3"/>
    <n v="4"/>
    <x v="0"/>
    <x v="8"/>
    <x v="3"/>
    <x v="0"/>
    <x v="2"/>
  </r>
  <r>
    <s v="TX500025"/>
    <x v="12"/>
    <x v="8"/>
    <n v="88.8"/>
    <n v="710.4"/>
    <d v="2025-01-01T00:00:00"/>
    <d v="2025-01-02T00:00:00"/>
    <s v="F"/>
    <x v="4"/>
    <n v="4"/>
    <x v="0"/>
    <x v="8"/>
    <x v="3"/>
    <x v="0"/>
    <x v="2"/>
  </r>
  <r>
    <s v="TX500026"/>
    <x v="0"/>
    <x v="7"/>
    <n v="17.5"/>
    <n v="175"/>
    <d v="2025-01-01T00:00:00"/>
    <d v="2025-01-02T00:00:00"/>
    <s v="F"/>
    <x v="2"/>
    <n v="4"/>
    <x v="0"/>
    <x v="9"/>
    <x v="3"/>
    <x v="0"/>
    <x v="2"/>
  </r>
  <r>
    <s v="TX500027"/>
    <x v="1"/>
    <x v="11"/>
    <n v="38.700000000000003"/>
    <n v="348.3"/>
    <d v="2025-01-01T00:00:00"/>
    <d v="2025-01-04T00:00:00"/>
    <s v="M"/>
    <x v="1"/>
    <n v="4"/>
    <x v="0"/>
    <x v="10"/>
    <x v="2"/>
    <x v="0"/>
    <x v="1"/>
  </r>
  <r>
    <s v="TX500028"/>
    <x v="13"/>
    <x v="12"/>
    <n v="57.2"/>
    <n v="228.8"/>
    <d v="2025-01-01T00:00:00"/>
    <d v="2025-01-03T00:00:00"/>
    <s v=""/>
    <x v="1"/>
    <n v="5"/>
    <x v="0"/>
    <x v="11"/>
    <x v="1"/>
    <x v="0"/>
    <x v="0"/>
  </r>
  <r>
    <s v="TX500029"/>
    <x v="6"/>
    <x v="9"/>
    <n v="50.9"/>
    <n v="254.5"/>
    <d v="2025-01-01T00:00:00"/>
    <d v="2025-01-07T00:00:00"/>
    <s v=""/>
    <x v="1"/>
    <n v="5"/>
    <x v="0"/>
    <x v="12"/>
    <x v="4"/>
    <x v="0"/>
    <x v="0"/>
  </r>
  <r>
    <s v="TX500030"/>
    <x v="14"/>
    <x v="3"/>
    <n v="41"/>
    <n v="287"/>
    <d v="2025-01-01T00:00:00"/>
    <d v="2025-01-05T00:00:00"/>
    <s v="F"/>
    <x v="1"/>
    <n v="4"/>
    <x v="0"/>
    <x v="13"/>
    <x v="5"/>
    <x v="0"/>
    <x v="2"/>
  </r>
  <r>
    <s v="TX500031"/>
    <x v="8"/>
    <x v="3"/>
    <n v="19.100000000000001"/>
    <n v="133.70000000000002"/>
    <d v="2025-01-01T00:00:00"/>
    <d v="2025-01-05T00:00:00"/>
    <s v="M"/>
    <x v="0"/>
    <n v="5"/>
    <x v="0"/>
    <x v="14"/>
    <x v="5"/>
    <x v="0"/>
    <x v="1"/>
  </r>
  <r>
    <s v="TX500032"/>
    <x v="2"/>
    <x v="9"/>
    <n v="166.1"/>
    <n v="830.5"/>
    <d v="2025-01-01T00:00:00"/>
    <d v="2025-01-04T00:00:00"/>
    <s v="M"/>
    <x v="0"/>
    <n v="4"/>
    <x v="0"/>
    <x v="15"/>
    <x v="2"/>
    <x v="0"/>
    <x v="1"/>
  </r>
  <r>
    <s v="TX500033"/>
    <x v="4"/>
    <x v="2"/>
    <n v="29.9"/>
    <n v="89.699999999999989"/>
    <d v="2025-01-01T00:00:00"/>
    <d v="2025-01-02T00:00:00"/>
    <s v="M"/>
    <x v="3"/>
    <n v="4"/>
    <x v="0"/>
    <x v="3"/>
    <x v="3"/>
    <x v="0"/>
    <x v="1"/>
  </r>
  <r>
    <s v="TX500034"/>
    <x v="10"/>
    <x v="13"/>
    <n v="21.7"/>
    <n v="130.19999999999999"/>
    <d v="2025-01-01T00:00:00"/>
    <d v="2025-01-03T00:00:00"/>
    <s v="O"/>
    <x v="2"/>
    <n v="5"/>
    <x v="0"/>
    <x v="3"/>
    <x v="1"/>
    <x v="0"/>
    <x v="3"/>
  </r>
  <r>
    <s v="TX500035"/>
    <x v="11"/>
    <x v="1"/>
    <n v="32"/>
    <n v="64"/>
    <d v="2025-01-01T00:00:00"/>
    <d v="2025-01-04T00:00:00"/>
    <s v="M"/>
    <x v="0"/>
    <n v="5"/>
    <x v="0"/>
    <x v="3"/>
    <x v="2"/>
    <x v="0"/>
    <x v="1"/>
  </r>
  <r>
    <s v="TX500036"/>
    <x v="8"/>
    <x v="1"/>
    <n v="15.8"/>
    <n v="31.6"/>
    <d v="2025-01-01T00:00:00"/>
    <d v="2025-01-02T00:00:00"/>
    <s v="M"/>
    <x v="4"/>
    <n v="5"/>
    <x v="0"/>
    <x v="3"/>
    <x v="3"/>
    <x v="0"/>
    <x v="1"/>
  </r>
  <r>
    <s v="TX500037"/>
    <x v="2"/>
    <x v="14"/>
    <n v="203.1"/>
    <n v="3452.7"/>
    <d v="2025-01-01T00:00:00"/>
    <d v="2025-01-05T00:00:00"/>
    <s v="M"/>
    <x v="3"/>
    <n v="3"/>
    <x v="0"/>
    <x v="3"/>
    <x v="5"/>
    <x v="0"/>
    <x v="1"/>
  </r>
  <r>
    <s v="TX500038"/>
    <x v="7"/>
    <x v="15"/>
    <n v="39"/>
    <n v="507"/>
    <d v="2025-01-01T00:00:00"/>
    <d v="2025-01-07T00:00:00"/>
    <s v="M"/>
    <x v="0"/>
    <n v="5"/>
    <x v="0"/>
    <x v="3"/>
    <x v="4"/>
    <x v="0"/>
    <x v="1"/>
  </r>
  <r>
    <s v="TX500039"/>
    <x v="10"/>
    <x v="0"/>
    <n v="26.5"/>
    <n v="26.5"/>
    <d v="2025-01-02T00:00:00"/>
    <d v="2025-01-03T00:00:00"/>
    <s v="M"/>
    <x v="2"/>
    <n v="4"/>
    <x v="0"/>
    <x v="3"/>
    <x v="3"/>
    <x v="0"/>
    <x v="1"/>
  </r>
  <r>
    <s v="TX500040"/>
    <x v="5"/>
    <x v="0"/>
    <n v="43.1"/>
    <n v="43.1"/>
    <d v="2025-01-02T00:00:00"/>
    <d v="2025-01-03T00:00:00"/>
    <s v="F"/>
    <x v="2"/>
    <n v="3"/>
    <x v="0"/>
    <x v="3"/>
    <x v="3"/>
    <x v="0"/>
    <x v="2"/>
  </r>
  <r>
    <s v="TX500041"/>
    <x v="1"/>
    <x v="2"/>
    <n v="139"/>
    <n v="417"/>
    <d v="2025-01-02T00:00:00"/>
    <d v="2025-01-03T00:00:00"/>
    <s v="F"/>
    <x v="4"/>
    <n v="5"/>
    <x v="0"/>
    <x v="3"/>
    <x v="3"/>
    <x v="0"/>
    <x v="2"/>
  </r>
  <r>
    <s v="TX500042"/>
    <x v="12"/>
    <x v="0"/>
    <n v="80.7"/>
    <n v="80.7"/>
    <d v="2025-01-02T00:00:00"/>
    <d v="2025-01-03T00:00:00"/>
    <s v="M"/>
    <x v="0"/>
    <n v="5"/>
    <x v="0"/>
    <x v="16"/>
    <x v="3"/>
    <x v="0"/>
    <x v="1"/>
  </r>
  <r>
    <s v="TX500043"/>
    <x v="4"/>
    <x v="1"/>
    <n v="54.5"/>
    <n v="109"/>
    <d v="2025-01-02T00:00:00"/>
    <d v="2025-01-04T00:00:00"/>
    <s v="M"/>
    <x v="1"/>
    <n v="3"/>
    <x v="0"/>
    <x v="6"/>
    <x v="1"/>
    <x v="0"/>
    <x v="1"/>
  </r>
  <r>
    <s v="TX500044"/>
    <x v="6"/>
    <x v="2"/>
    <n v="68.599999999999994"/>
    <n v="205.79999999999998"/>
    <d v="2025-01-02T00:00:00"/>
    <d v="2025-01-02T00:00:00"/>
    <s v="F"/>
    <x v="0"/>
    <n v="3"/>
    <x v="0"/>
    <x v="8"/>
    <x v="7"/>
    <x v="0"/>
    <x v="2"/>
  </r>
  <r>
    <s v="TX500045"/>
    <x v="2"/>
    <x v="12"/>
    <n v="135.9"/>
    <n v="543.6"/>
    <d v="2025-01-02T00:00:00"/>
    <d v="2025-01-03T00:00:00"/>
    <s v="F"/>
    <x v="2"/>
    <n v="5"/>
    <x v="0"/>
    <x v="8"/>
    <x v="3"/>
    <x v="0"/>
    <x v="2"/>
  </r>
  <r>
    <s v="TX500046"/>
    <x v="2"/>
    <x v="12"/>
    <n v="70.900000000000006"/>
    <n v="283.60000000000002"/>
    <d v="2025-01-02T00:00:00"/>
    <d v="2025-01-03T00:00:00"/>
    <s v="F"/>
    <x v="0"/>
    <n v="4"/>
    <x v="0"/>
    <x v="17"/>
    <x v="3"/>
    <x v="0"/>
    <x v="2"/>
  </r>
  <r>
    <s v="TX500047"/>
    <x v="1"/>
    <x v="9"/>
    <n v="63.7"/>
    <n v="318.5"/>
    <d v="2025-01-02T00:00:00"/>
    <d v="2025-01-03T00:00:00"/>
    <s v="M"/>
    <x v="1"/>
    <n v="3"/>
    <x v="0"/>
    <x v="9"/>
    <x v="3"/>
    <x v="0"/>
    <x v="1"/>
  </r>
  <r>
    <s v="TX500048"/>
    <x v="13"/>
    <x v="0"/>
    <n v="29.7"/>
    <n v="29.7"/>
    <d v="2025-01-02T00:00:00"/>
    <d v="2025-01-04T00:00:00"/>
    <s v="F"/>
    <x v="1"/>
    <n v="4"/>
    <x v="0"/>
    <x v="11"/>
    <x v="1"/>
    <x v="0"/>
    <x v="2"/>
  </r>
  <r>
    <s v="TX500049"/>
    <x v="4"/>
    <x v="2"/>
    <n v="26.8"/>
    <n v="80.400000000000006"/>
    <d v="2025-01-02T00:00:00"/>
    <d v="2025-01-11T00:00:00"/>
    <s v="F"/>
    <x v="1"/>
    <n v="5"/>
    <x v="0"/>
    <x v="11"/>
    <x v="8"/>
    <x v="0"/>
    <x v="2"/>
  </r>
  <r>
    <s v="TX500050"/>
    <x v="14"/>
    <x v="0"/>
    <n v="27"/>
    <n v="27"/>
    <d v="2025-01-02T00:00:00"/>
    <d v="2025-01-04T00:00:00"/>
    <s v="F"/>
    <x v="0"/>
    <n v="4"/>
    <x v="0"/>
    <x v="18"/>
    <x v="1"/>
    <x v="0"/>
    <x v="2"/>
  </r>
  <r>
    <s v="TX500051"/>
    <x v="8"/>
    <x v="0"/>
    <n v="41.4"/>
    <n v="41.4"/>
    <d v="2025-01-02T00:00:00"/>
    <d v="2025-01-03T00:00:00"/>
    <s v="M"/>
    <x v="1"/>
    <n v="5"/>
    <x v="0"/>
    <x v="19"/>
    <x v="3"/>
    <x v="0"/>
    <x v="1"/>
  </r>
  <r>
    <s v="TX500052"/>
    <x v="8"/>
    <x v="1"/>
    <n v="24.3"/>
    <n v="48.6"/>
    <d v="2025-01-02T00:00:00"/>
    <d v="2025-01-05T00:00:00"/>
    <s v="F"/>
    <x v="1"/>
    <n v="4"/>
    <x v="0"/>
    <x v="19"/>
    <x v="2"/>
    <x v="0"/>
    <x v="2"/>
  </r>
  <r>
    <s v="TX500053"/>
    <x v="8"/>
    <x v="2"/>
    <n v="41.7"/>
    <n v="125.10000000000001"/>
    <d v="2025-01-02T00:00:00"/>
    <d v="2025-01-04T00:00:00"/>
    <s v="M"/>
    <x v="0"/>
    <n v="5"/>
    <x v="0"/>
    <x v="20"/>
    <x v="1"/>
    <x v="0"/>
    <x v="1"/>
  </r>
  <r>
    <s v="TX500054"/>
    <x v="0"/>
    <x v="1"/>
    <n v="18"/>
    <n v="36"/>
    <d v="2025-01-02T00:00:00"/>
    <d v="2025-01-03T00:00:00"/>
    <s v="F"/>
    <x v="0"/>
    <n v="5"/>
    <x v="0"/>
    <x v="21"/>
    <x v="3"/>
    <x v="0"/>
    <x v="2"/>
  </r>
  <r>
    <s v="TX500055"/>
    <x v="7"/>
    <x v="2"/>
    <n v="91.3"/>
    <n v="273.89999999999998"/>
    <d v="2025-01-02T00:00:00"/>
    <d v="2025-01-05T00:00:00"/>
    <s v="M"/>
    <x v="2"/>
    <n v="5"/>
    <x v="0"/>
    <x v="3"/>
    <x v="2"/>
    <x v="0"/>
    <x v="1"/>
  </r>
  <r>
    <s v="TX500056"/>
    <x v="8"/>
    <x v="8"/>
    <n v="19.3"/>
    <n v="154.4"/>
    <d v="2025-01-02T00:00:00"/>
    <d v="2025-01-03T00:00:00"/>
    <s v="M"/>
    <x v="0"/>
    <n v="4"/>
    <x v="0"/>
    <x v="3"/>
    <x v="3"/>
    <x v="0"/>
    <x v="1"/>
  </r>
  <r>
    <s v="TX500057"/>
    <x v="12"/>
    <x v="15"/>
    <n v="63.2"/>
    <n v="821.6"/>
    <d v="2025-01-02T00:00:00"/>
    <d v="2025-01-03T00:00:00"/>
    <s v="F"/>
    <x v="0"/>
    <n v="4"/>
    <x v="0"/>
    <x v="3"/>
    <x v="3"/>
    <x v="0"/>
    <x v="2"/>
  </r>
  <r>
    <s v="TX500058"/>
    <x v="10"/>
    <x v="11"/>
    <n v="33.299999999999997"/>
    <n v="299.7"/>
    <d v="2025-01-03T00:00:00"/>
    <d v="2025-01-11T00:00:00"/>
    <s v="F"/>
    <x v="0"/>
    <n v="5"/>
    <x v="0"/>
    <x v="3"/>
    <x v="9"/>
    <x v="0"/>
    <x v="2"/>
  </r>
  <r>
    <s v="TX500059"/>
    <x v="7"/>
    <x v="1"/>
    <n v="64.2"/>
    <n v="128.4"/>
    <d v="2025-01-03T00:00:00"/>
    <d v="2025-01-04T00:00:00"/>
    <s v="M"/>
    <x v="0"/>
    <n v="5"/>
    <x v="0"/>
    <x v="3"/>
    <x v="3"/>
    <x v="0"/>
    <x v="1"/>
  </r>
  <r>
    <s v="TX500060"/>
    <x v="9"/>
    <x v="2"/>
    <n v="23.1"/>
    <n v="69.300000000000011"/>
    <d v="2025-01-03T00:00:00"/>
    <d v="2025-01-06T00:00:00"/>
    <s v="F"/>
    <x v="1"/>
    <n v="5"/>
    <x v="0"/>
    <x v="3"/>
    <x v="2"/>
    <x v="0"/>
    <x v="2"/>
  </r>
  <r>
    <s v="TX500061"/>
    <x v="15"/>
    <x v="1"/>
    <n v="71.099999999999994"/>
    <n v="142.19999999999999"/>
    <d v="2025-01-03T00:00:00"/>
    <d v="2025-01-05T00:00:00"/>
    <s v="F"/>
    <x v="3"/>
    <n v="3"/>
    <x v="0"/>
    <x v="3"/>
    <x v="1"/>
    <x v="0"/>
    <x v="2"/>
  </r>
  <r>
    <s v="TX500062"/>
    <x v="0"/>
    <x v="1"/>
    <n v="11.5"/>
    <n v="23"/>
    <d v="2025-01-03T00:00:00"/>
    <d v="2025-01-04T00:00:00"/>
    <s v="F"/>
    <x v="0"/>
    <n v="4"/>
    <x v="0"/>
    <x v="3"/>
    <x v="3"/>
    <x v="0"/>
    <x v="2"/>
  </r>
  <r>
    <s v="TX500063"/>
    <x v="15"/>
    <x v="10"/>
    <n v="69.2"/>
    <n v="1314.8"/>
    <d v="2025-01-03T00:00:00"/>
    <d v="2025-01-08T00:00:00"/>
    <s v="F"/>
    <x v="0"/>
    <n v="4"/>
    <x v="0"/>
    <x v="3"/>
    <x v="0"/>
    <x v="0"/>
    <x v="2"/>
  </r>
  <r>
    <s v="TX500064"/>
    <x v="0"/>
    <x v="0"/>
    <n v="26.8"/>
    <n v="26.8"/>
    <d v="2025-01-03T00:00:00"/>
    <d v="2025-01-04T00:00:00"/>
    <s v="M"/>
    <x v="2"/>
    <n v="2"/>
    <x v="0"/>
    <x v="3"/>
    <x v="3"/>
    <x v="0"/>
    <x v="1"/>
  </r>
  <r>
    <s v="TX500065"/>
    <x v="16"/>
    <x v="2"/>
    <n v="31.2"/>
    <n v="93.6"/>
    <d v="2025-01-03T00:00:00"/>
    <d v="2025-01-06T00:00:00"/>
    <s v="F"/>
    <x v="0"/>
    <n v="4"/>
    <x v="0"/>
    <x v="3"/>
    <x v="2"/>
    <x v="0"/>
    <x v="2"/>
  </r>
  <r>
    <s v="TX500066"/>
    <x v="12"/>
    <x v="1"/>
    <n v="113.2"/>
    <n v="226.4"/>
    <d v="2025-01-03T00:00:00"/>
    <d v="2025-01-04T00:00:00"/>
    <s v="F"/>
    <x v="4"/>
    <n v="4"/>
    <x v="0"/>
    <x v="3"/>
    <x v="3"/>
    <x v="0"/>
    <x v="2"/>
  </r>
  <r>
    <s v="TX500067"/>
    <x v="10"/>
    <x v="8"/>
    <n v="21"/>
    <n v="168"/>
    <d v="2025-01-03T00:00:00"/>
    <d v="2025-01-04T00:00:00"/>
    <s v="M"/>
    <x v="0"/>
    <n v="4"/>
    <x v="0"/>
    <x v="6"/>
    <x v="3"/>
    <x v="0"/>
    <x v="1"/>
  </r>
  <r>
    <s v="TX500068"/>
    <x v="1"/>
    <x v="1"/>
    <n v="89.1"/>
    <n v="178.2"/>
    <d v="2025-01-03T00:00:00"/>
    <d v="2025-01-04T00:00:00"/>
    <s v="F"/>
    <x v="2"/>
    <n v="5"/>
    <x v="0"/>
    <x v="6"/>
    <x v="3"/>
    <x v="0"/>
    <x v="2"/>
  </r>
  <r>
    <s v="TX500069"/>
    <x v="1"/>
    <x v="0"/>
    <n v="97.7"/>
    <n v="97.7"/>
    <d v="2025-01-03T00:00:00"/>
    <d v="2025-01-05T00:00:00"/>
    <s v="F"/>
    <x v="0"/>
    <n v="3"/>
    <x v="0"/>
    <x v="6"/>
    <x v="1"/>
    <x v="0"/>
    <x v="2"/>
  </r>
  <r>
    <s v="TX500070"/>
    <x v="15"/>
    <x v="12"/>
    <n v="97.7"/>
    <n v="390.8"/>
    <d v="2025-01-03T00:00:00"/>
    <d v="2025-01-05T00:00:00"/>
    <s v="M"/>
    <x v="3"/>
    <n v="4"/>
    <x v="0"/>
    <x v="6"/>
    <x v="1"/>
    <x v="0"/>
    <x v="1"/>
  </r>
  <r>
    <s v="TX500071"/>
    <x v="17"/>
    <x v="2"/>
    <n v="47.4"/>
    <n v="142.19999999999999"/>
    <d v="2025-01-03T00:00:00"/>
    <d v="2025-01-06T00:00:00"/>
    <s v="M"/>
    <x v="3"/>
    <n v="5"/>
    <x v="0"/>
    <x v="8"/>
    <x v="2"/>
    <x v="0"/>
    <x v="1"/>
  </r>
  <r>
    <s v="TX500072"/>
    <x v="7"/>
    <x v="0"/>
    <n v="89.6"/>
    <n v="89.6"/>
    <d v="2025-01-03T00:00:00"/>
    <d v="2025-01-06T00:00:00"/>
    <s v="F"/>
    <x v="0"/>
    <n v="5"/>
    <x v="0"/>
    <x v="8"/>
    <x v="2"/>
    <x v="0"/>
    <x v="2"/>
  </r>
  <r>
    <s v="TX500073"/>
    <x v="10"/>
    <x v="16"/>
    <n v="28.4"/>
    <n v="511.2"/>
    <d v="2025-01-03T00:00:00"/>
    <d v="2025-01-06T00:00:00"/>
    <s v="F"/>
    <x v="3"/>
    <n v="5"/>
    <x v="0"/>
    <x v="17"/>
    <x v="2"/>
    <x v="0"/>
    <x v="2"/>
  </r>
  <r>
    <s v="TX500074"/>
    <x v="0"/>
    <x v="1"/>
    <n v="17.899999999999999"/>
    <n v="35.799999999999997"/>
    <d v="2025-01-03T00:00:00"/>
    <d v="2025-01-04T00:00:00"/>
    <s v="F"/>
    <x v="0"/>
    <n v="5"/>
    <x v="0"/>
    <x v="9"/>
    <x v="3"/>
    <x v="0"/>
    <x v="2"/>
  </r>
  <r>
    <s v="TX500075"/>
    <x v="9"/>
    <x v="1"/>
    <n v="48.4"/>
    <n v="96.8"/>
    <d v="2025-01-03T00:00:00"/>
    <d v="2025-01-06T00:00:00"/>
    <s v="M"/>
    <x v="1"/>
    <n v="4"/>
    <x v="0"/>
    <x v="9"/>
    <x v="2"/>
    <x v="0"/>
    <x v="1"/>
  </r>
  <r>
    <s v="TX500076"/>
    <x v="12"/>
    <x v="12"/>
    <n v="44.4"/>
    <n v="177.6"/>
    <d v="2025-01-03T00:00:00"/>
    <d v="2025-01-04T00:00:00"/>
    <s v="O"/>
    <x v="1"/>
    <n v="3"/>
    <x v="0"/>
    <x v="11"/>
    <x v="3"/>
    <x v="0"/>
    <x v="3"/>
  </r>
  <r>
    <s v="TX500077"/>
    <x v="2"/>
    <x v="8"/>
    <n v="103.7"/>
    <n v="829.6"/>
    <d v="2025-01-03T00:00:00"/>
    <d v="2025-01-04T00:00:00"/>
    <s v="F"/>
    <x v="0"/>
    <n v="3"/>
    <x v="0"/>
    <x v="19"/>
    <x v="3"/>
    <x v="0"/>
    <x v="2"/>
  </r>
  <r>
    <s v="TX500078"/>
    <x v="5"/>
    <x v="12"/>
    <n v="58.6"/>
    <n v="234.4"/>
    <d v="2025-01-03T00:00:00"/>
    <d v="2025-01-05T00:00:00"/>
    <s v="M"/>
    <x v="3"/>
    <n v="4"/>
    <x v="0"/>
    <x v="19"/>
    <x v="1"/>
    <x v="0"/>
    <x v="1"/>
  </r>
  <r>
    <s v="TX500079"/>
    <x v="9"/>
    <x v="12"/>
    <n v="54.8"/>
    <n v="219.2"/>
    <d v="2025-01-03T00:00:00"/>
    <d v="2025-01-07T00:00:00"/>
    <s v="F"/>
    <x v="2"/>
    <n v="3"/>
    <x v="0"/>
    <x v="13"/>
    <x v="5"/>
    <x v="0"/>
    <x v="2"/>
  </r>
  <r>
    <s v="TX500080"/>
    <x v="12"/>
    <x v="2"/>
    <n v="78.8"/>
    <n v="236.39999999999998"/>
    <d v="2025-01-03T00:00:00"/>
    <d v="2025-01-09T00:00:00"/>
    <s v="F"/>
    <x v="4"/>
    <n v="3"/>
    <x v="0"/>
    <x v="21"/>
    <x v="4"/>
    <x v="0"/>
    <x v="2"/>
  </r>
  <r>
    <s v="TX500081"/>
    <x v="18"/>
    <x v="9"/>
    <n v="36.799999999999997"/>
    <n v="184"/>
    <d v="2025-01-03T00:00:00"/>
    <d v="2025-01-06T00:00:00"/>
    <s v="M"/>
    <x v="4"/>
    <n v="3"/>
    <x v="0"/>
    <x v="22"/>
    <x v="2"/>
    <x v="0"/>
    <x v="1"/>
  </r>
  <r>
    <s v="TX500082"/>
    <x v="6"/>
    <x v="13"/>
    <n v="50.6"/>
    <n v="303.60000000000002"/>
    <d v="2025-01-03T00:00:00"/>
    <d v="2025-01-05T00:00:00"/>
    <s v="F"/>
    <x v="3"/>
    <n v="4"/>
    <x v="0"/>
    <x v="3"/>
    <x v="1"/>
    <x v="0"/>
    <x v="2"/>
  </r>
  <r>
    <s v="TX500083"/>
    <x v="15"/>
    <x v="2"/>
    <n v="36.799999999999997"/>
    <n v="110.39999999999999"/>
    <d v="2025-01-03T00:00:00"/>
    <d v="2025-01-03T00:00:00"/>
    <s v="M"/>
    <x v="2"/>
    <n v="3"/>
    <x v="0"/>
    <x v="3"/>
    <x v="7"/>
    <x v="0"/>
    <x v="1"/>
  </r>
  <r>
    <s v="TX500084"/>
    <x v="8"/>
    <x v="11"/>
    <n v="41.8"/>
    <n v="376.2"/>
    <d v="2025-01-04T00:00:00"/>
    <d v="2025-01-10T00:00:00"/>
    <s v="F"/>
    <x v="3"/>
    <n v="4"/>
    <x v="0"/>
    <x v="3"/>
    <x v="4"/>
    <x v="0"/>
    <x v="2"/>
  </r>
  <r>
    <s v="TX500085"/>
    <x v="18"/>
    <x v="0"/>
    <n v="77.3"/>
    <n v="77.3"/>
    <d v="2025-01-04T00:00:00"/>
    <d v="2025-01-05T00:00:00"/>
    <s v="M"/>
    <x v="4"/>
    <n v="2"/>
    <x v="0"/>
    <x v="3"/>
    <x v="3"/>
    <x v="0"/>
    <x v="1"/>
  </r>
  <r>
    <s v="TX500086"/>
    <x v="8"/>
    <x v="12"/>
    <n v="19.8"/>
    <n v="79.2"/>
    <d v="2025-01-04T00:00:00"/>
    <d v="2025-01-10T00:00:00"/>
    <s v="M"/>
    <x v="1"/>
    <n v="5"/>
    <x v="0"/>
    <x v="3"/>
    <x v="4"/>
    <x v="0"/>
    <x v="1"/>
  </r>
  <r>
    <s v="TX500087"/>
    <x v="13"/>
    <x v="12"/>
    <n v="15.5"/>
    <n v="62"/>
    <d v="2025-01-04T00:00:00"/>
    <d v="2025-01-05T00:00:00"/>
    <s v="F"/>
    <x v="1"/>
    <n v="5"/>
    <x v="0"/>
    <x v="3"/>
    <x v="3"/>
    <x v="0"/>
    <x v="2"/>
  </r>
  <r>
    <s v="TX500088"/>
    <x v="12"/>
    <x v="0"/>
    <n v="46.8"/>
    <n v="46.8"/>
    <d v="2025-01-04T00:00:00"/>
    <d v="2025-01-08T00:00:00"/>
    <s v="M"/>
    <x v="0"/>
    <n v="5"/>
    <x v="0"/>
    <x v="3"/>
    <x v="5"/>
    <x v="0"/>
    <x v="1"/>
  </r>
  <r>
    <s v="TX500089"/>
    <x v="9"/>
    <x v="11"/>
    <n v="28.6"/>
    <n v="257.40000000000003"/>
    <d v="2025-01-04T00:00:00"/>
    <d v="2025-01-08T00:00:00"/>
    <s v="M"/>
    <x v="0"/>
    <n v="5"/>
    <x v="0"/>
    <x v="3"/>
    <x v="5"/>
    <x v="0"/>
    <x v="1"/>
  </r>
  <r>
    <s v="TX500090"/>
    <x v="2"/>
    <x v="0"/>
    <n v="97.7"/>
    <n v="97.7"/>
    <d v="2025-01-04T00:00:00"/>
    <d v="2025-01-07T00:00:00"/>
    <s v="F"/>
    <x v="1"/>
    <n v="4"/>
    <x v="0"/>
    <x v="3"/>
    <x v="2"/>
    <x v="0"/>
    <x v="2"/>
  </r>
  <r>
    <s v="TX500091"/>
    <x v="9"/>
    <x v="9"/>
    <n v="54.7"/>
    <n v="273.5"/>
    <d v="2025-01-04T00:00:00"/>
    <d v="2025-01-07T00:00:00"/>
    <s v=""/>
    <x v="0"/>
    <n v="5"/>
    <x v="0"/>
    <x v="23"/>
    <x v="2"/>
    <x v="0"/>
    <x v="0"/>
  </r>
  <r>
    <s v="TX500092"/>
    <x v="2"/>
    <x v="13"/>
    <n v="130.5"/>
    <n v="783"/>
    <d v="2025-01-04T00:00:00"/>
    <d v="2025-01-06T00:00:00"/>
    <s v="F"/>
    <x v="0"/>
    <n v="3"/>
    <x v="0"/>
    <x v="23"/>
    <x v="1"/>
    <x v="0"/>
    <x v="2"/>
  </r>
  <r>
    <s v="TX500093"/>
    <x v="11"/>
    <x v="1"/>
    <n v="50.4"/>
    <n v="100.8"/>
    <d v="2025-01-04T00:00:00"/>
    <d v="2025-01-06T00:00:00"/>
    <s v="M"/>
    <x v="2"/>
    <n v="5"/>
    <x v="0"/>
    <x v="6"/>
    <x v="1"/>
    <x v="0"/>
    <x v="1"/>
  </r>
  <r>
    <s v="TX500094"/>
    <x v="6"/>
    <x v="15"/>
    <n v="61.5"/>
    <n v="799.5"/>
    <d v="2025-01-04T00:00:00"/>
    <d v="2025-01-05T00:00:00"/>
    <s v=""/>
    <x v="3"/>
    <n v="3"/>
    <x v="0"/>
    <x v="11"/>
    <x v="3"/>
    <x v="0"/>
    <x v="0"/>
  </r>
  <r>
    <s v="TX500095"/>
    <x v="9"/>
    <x v="12"/>
    <n v="30.1"/>
    <n v="120.4"/>
    <d v="2025-01-04T00:00:00"/>
    <d v="2025-01-05T00:00:00"/>
    <s v="F"/>
    <x v="0"/>
    <n v="5"/>
    <x v="0"/>
    <x v="21"/>
    <x v="3"/>
    <x v="0"/>
    <x v="2"/>
  </r>
  <r>
    <s v="TX500096"/>
    <x v="2"/>
    <x v="9"/>
    <n v="74.8"/>
    <n v="374"/>
    <d v="2025-01-04T00:00:00"/>
    <d v="2025-01-05T00:00:00"/>
    <s v="F"/>
    <x v="1"/>
    <n v="4"/>
    <x v="0"/>
    <x v="1"/>
    <x v="3"/>
    <x v="0"/>
    <x v="2"/>
  </r>
  <r>
    <s v="TX500097"/>
    <x v="16"/>
    <x v="2"/>
    <n v="64.900000000000006"/>
    <n v="194.70000000000002"/>
    <d v="2025-01-04T00:00:00"/>
    <d v="2025-01-11T00:00:00"/>
    <s v="M"/>
    <x v="0"/>
    <n v="4"/>
    <x v="0"/>
    <x v="2"/>
    <x v="6"/>
    <x v="0"/>
    <x v="1"/>
  </r>
  <r>
    <s v="TX500098"/>
    <x v="9"/>
    <x v="1"/>
    <n v="50.5"/>
    <n v="101"/>
    <d v="2025-01-04T00:00:00"/>
    <d v="2025-01-06T00:00:00"/>
    <s v="M"/>
    <x v="1"/>
    <n v="4"/>
    <x v="0"/>
    <x v="22"/>
    <x v="1"/>
    <x v="0"/>
    <x v="1"/>
  </r>
  <r>
    <s v="TX500099"/>
    <x v="11"/>
    <x v="3"/>
    <n v="63"/>
    <n v="441"/>
    <d v="2025-01-04T00:00:00"/>
    <d v="2025-01-07T00:00:00"/>
    <s v="M"/>
    <x v="3"/>
    <n v="5"/>
    <x v="0"/>
    <x v="3"/>
    <x v="2"/>
    <x v="0"/>
    <x v="1"/>
  </r>
  <r>
    <s v="TX500100"/>
    <x v="2"/>
    <x v="2"/>
    <n v="93.6"/>
    <n v="280.79999999999995"/>
    <d v="2025-01-04T00:00:00"/>
    <d v="2025-01-17T00:00:00"/>
    <s v="F"/>
    <x v="0"/>
    <n v="5"/>
    <x v="0"/>
    <x v="3"/>
    <x v="10"/>
    <x v="0"/>
    <x v="2"/>
  </r>
  <r>
    <s v="TX500101"/>
    <x v="5"/>
    <x v="17"/>
    <n v="41.4"/>
    <n v="1242"/>
    <d v="2025-01-04T00:00:00"/>
    <d v="2025-01-08T00:00:00"/>
    <s v="M"/>
    <x v="2"/>
    <n v="5"/>
    <x v="0"/>
    <x v="3"/>
    <x v="5"/>
    <x v="0"/>
    <x v="1"/>
  </r>
  <r>
    <s v="TX500102"/>
    <x v="2"/>
    <x v="1"/>
    <n v="160"/>
    <n v="320"/>
    <d v="2025-01-05T00:00:00"/>
    <d v="2025-01-06T00:00:00"/>
    <s v="M"/>
    <x v="2"/>
    <n v="5"/>
    <x v="0"/>
    <x v="5"/>
    <x v="3"/>
    <x v="1"/>
    <x v="1"/>
  </r>
  <r>
    <s v="TX500103"/>
    <x v="19"/>
    <x v="5"/>
    <n v="10.5"/>
    <n v="115.5"/>
    <d v="2025-01-05T00:00:00"/>
    <d v="2025-01-08T00:00:00"/>
    <s v="F"/>
    <x v="4"/>
    <n v="4"/>
    <x v="0"/>
    <x v="8"/>
    <x v="2"/>
    <x v="1"/>
    <x v="2"/>
  </r>
  <r>
    <s v="TX500104"/>
    <x v="10"/>
    <x v="1"/>
    <n v="53"/>
    <n v="106"/>
    <d v="2025-01-05T00:00:00"/>
    <d v="2025-01-05T00:00:00"/>
    <s v="M"/>
    <x v="2"/>
    <n v="2"/>
    <x v="0"/>
    <x v="17"/>
    <x v="7"/>
    <x v="1"/>
    <x v="1"/>
  </r>
  <r>
    <s v="TX500105"/>
    <x v="8"/>
    <x v="2"/>
    <n v="18.5"/>
    <n v="55.5"/>
    <d v="2025-01-05T00:00:00"/>
    <d v="2025-01-10T00:00:00"/>
    <s v="F"/>
    <x v="1"/>
    <n v="5"/>
    <x v="0"/>
    <x v="11"/>
    <x v="0"/>
    <x v="1"/>
    <x v="2"/>
  </r>
  <r>
    <s v="TX500106"/>
    <x v="16"/>
    <x v="2"/>
    <n v="84.5"/>
    <n v="253.5"/>
    <d v="2025-01-05T00:00:00"/>
    <d v="2025-01-07T00:00:00"/>
    <s v="F"/>
    <x v="4"/>
    <n v="3"/>
    <x v="0"/>
    <x v="13"/>
    <x v="1"/>
    <x v="1"/>
    <x v="2"/>
  </r>
  <r>
    <s v="TX500107"/>
    <x v="15"/>
    <x v="3"/>
    <n v="31.2"/>
    <n v="218.4"/>
    <d v="2025-01-05T00:00:00"/>
    <d v="2025-01-05T00:00:00"/>
    <s v="F"/>
    <x v="2"/>
    <n v="5"/>
    <x v="0"/>
    <x v="3"/>
    <x v="7"/>
    <x v="1"/>
    <x v="2"/>
  </r>
  <r>
    <s v="TX500108"/>
    <x v="8"/>
    <x v="16"/>
    <n v="32.6"/>
    <n v="586.80000000000007"/>
    <d v="2025-01-05T00:00:00"/>
    <d v="2025-01-06T00:00:00"/>
    <s v="M"/>
    <x v="1"/>
    <n v="3"/>
    <x v="0"/>
    <x v="3"/>
    <x v="3"/>
    <x v="1"/>
    <x v="1"/>
  </r>
  <r>
    <s v="TX500109"/>
    <x v="10"/>
    <x v="12"/>
    <n v="45.4"/>
    <n v="181.6"/>
    <d v="2025-01-05T00:00:00"/>
    <d v="2025-01-07T00:00:00"/>
    <s v="M"/>
    <x v="1"/>
    <n v="4"/>
    <x v="0"/>
    <x v="3"/>
    <x v="1"/>
    <x v="1"/>
    <x v="1"/>
  </r>
  <r>
    <s v="TX500110"/>
    <x v="2"/>
    <x v="4"/>
    <n v="120"/>
    <n v="1440"/>
    <d v="2025-01-05T00:00:00"/>
    <d v="2025-01-06T00:00:00"/>
    <s v="F"/>
    <x v="2"/>
    <n v="2"/>
    <x v="0"/>
    <x v="3"/>
    <x v="3"/>
    <x v="1"/>
    <x v="2"/>
  </r>
  <r>
    <s v="TX500111"/>
    <x v="0"/>
    <x v="12"/>
    <n v="18.899999999999999"/>
    <n v="75.599999999999994"/>
    <d v="2025-01-05T00:00:00"/>
    <d v="2025-01-07T00:00:00"/>
    <s v="M"/>
    <x v="0"/>
    <n v="5"/>
    <x v="0"/>
    <x v="3"/>
    <x v="1"/>
    <x v="1"/>
    <x v="1"/>
  </r>
  <r>
    <s v="TX500112"/>
    <x v="4"/>
    <x v="0"/>
    <n v="32"/>
    <n v="32"/>
    <d v="2025-01-05T00:00:00"/>
    <d v="2025-01-07T00:00:00"/>
    <s v="F"/>
    <x v="4"/>
    <n v="4"/>
    <x v="0"/>
    <x v="3"/>
    <x v="1"/>
    <x v="1"/>
    <x v="2"/>
  </r>
  <r>
    <s v="TX500113"/>
    <x v="7"/>
    <x v="1"/>
    <n v="37.299999999999997"/>
    <n v="74.599999999999994"/>
    <d v="2025-01-05T00:00:00"/>
    <d v="2025-01-06T00:00:00"/>
    <s v="M"/>
    <x v="2"/>
    <n v="4"/>
    <x v="0"/>
    <x v="3"/>
    <x v="3"/>
    <x v="1"/>
    <x v="1"/>
  </r>
  <r>
    <s v="TX500114"/>
    <x v="18"/>
    <x v="0"/>
    <n v="119.8"/>
    <n v="119.8"/>
    <d v="2025-01-05T00:00:00"/>
    <d v="2025-01-06T00:00:00"/>
    <s v="M"/>
    <x v="1"/>
    <n v="3"/>
    <x v="0"/>
    <x v="3"/>
    <x v="3"/>
    <x v="1"/>
    <x v="1"/>
  </r>
  <r>
    <s v="TX500115"/>
    <x v="10"/>
    <x v="1"/>
    <n v="26.4"/>
    <n v="52.8"/>
    <d v="2025-01-05T00:00:00"/>
    <d v="2025-01-08T00:00:00"/>
    <s v="M"/>
    <x v="2"/>
    <n v="4"/>
    <x v="0"/>
    <x v="3"/>
    <x v="2"/>
    <x v="1"/>
    <x v="1"/>
  </r>
  <r>
    <s v="TX500116"/>
    <x v="6"/>
    <x v="13"/>
    <n v="76.5"/>
    <n v="459"/>
    <d v="2025-01-05T00:00:00"/>
    <d v="2025-01-06T00:00:00"/>
    <s v="F"/>
    <x v="1"/>
    <n v="3"/>
    <x v="0"/>
    <x v="3"/>
    <x v="3"/>
    <x v="1"/>
    <x v="2"/>
  </r>
  <r>
    <s v="TX500117"/>
    <x v="4"/>
    <x v="7"/>
    <n v="45.7"/>
    <n v="457"/>
    <d v="2025-01-05T00:00:00"/>
    <d v="2025-01-06T00:00:00"/>
    <s v="F"/>
    <x v="2"/>
    <n v="4"/>
    <x v="0"/>
    <x v="24"/>
    <x v="3"/>
    <x v="1"/>
    <x v="2"/>
  </r>
  <r>
    <s v="TX500118"/>
    <x v="1"/>
    <x v="4"/>
    <n v="92.6"/>
    <n v="1111.1999999999998"/>
    <d v="2025-01-05T00:00:00"/>
    <d v="2025-01-07T00:00:00"/>
    <s v="F"/>
    <x v="2"/>
    <n v="4"/>
    <x v="0"/>
    <x v="25"/>
    <x v="1"/>
    <x v="1"/>
    <x v="2"/>
  </r>
  <r>
    <s v="TX500119"/>
    <x v="6"/>
    <x v="13"/>
    <n v="60.1"/>
    <n v="360.6"/>
    <d v="2025-01-05T00:00:00"/>
    <d v="2025-01-06T00:00:00"/>
    <s v="M"/>
    <x v="1"/>
    <n v="4"/>
    <x v="0"/>
    <x v="23"/>
    <x v="3"/>
    <x v="1"/>
    <x v="1"/>
  </r>
  <r>
    <s v="TX500120"/>
    <x v="1"/>
    <x v="2"/>
    <n v="73"/>
    <n v="219"/>
    <d v="2025-01-05T00:00:00"/>
    <d v="2025-01-06T00:00:00"/>
    <s v="F"/>
    <x v="3"/>
    <n v="3"/>
    <x v="0"/>
    <x v="6"/>
    <x v="3"/>
    <x v="1"/>
    <x v="2"/>
  </r>
  <r>
    <s v="TX500121"/>
    <x v="6"/>
    <x v="2"/>
    <n v="44.3"/>
    <n v="132.89999999999998"/>
    <d v="2025-01-05T00:00:00"/>
    <d v="2025-01-09T00:00:00"/>
    <s v=""/>
    <x v="2"/>
    <n v="5"/>
    <x v="0"/>
    <x v="6"/>
    <x v="5"/>
    <x v="1"/>
    <x v="0"/>
  </r>
  <r>
    <s v="TX500122"/>
    <x v="6"/>
    <x v="2"/>
    <n v="63.3"/>
    <n v="189.89999999999998"/>
    <d v="2025-01-05T00:00:00"/>
    <d v="2025-01-06T00:00:00"/>
    <s v="M"/>
    <x v="2"/>
    <n v="4"/>
    <x v="0"/>
    <x v="6"/>
    <x v="3"/>
    <x v="1"/>
    <x v="1"/>
  </r>
  <r>
    <s v="TX500123"/>
    <x v="12"/>
    <x v="0"/>
    <n v="66.8"/>
    <n v="66.8"/>
    <d v="2025-01-05T00:00:00"/>
    <d v="2025-01-06T00:00:00"/>
    <s v="F"/>
    <x v="1"/>
    <n v="4"/>
    <x v="0"/>
    <x v="6"/>
    <x v="3"/>
    <x v="1"/>
    <x v="2"/>
  </r>
  <r>
    <s v="TX500124"/>
    <x v="2"/>
    <x v="1"/>
    <n v="59.7"/>
    <n v="119.4"/>
    <d v="2025-01-05T00:00:00"/>
    <d v="2025-01-06T00:00:00"/>
    <s v="F"/>
    <x v="0"/>
    <n v="4"/>
    <x v="0"/>
    <x v="7"/>
    <x v="3"/>
    <x v="1"/>
    <x v="2"/>
  </r>
  <r>
    <s v="TX500125"/>
    <x v="1"/>
    <x v="13"/>
    <n v="92"/>
    <n v="552"/>
    <d v="2025-01-05T00:00:00"/>
    <d v="2025-01-07T00:00:00"/>
    <s v="M"/>
    <x v="0"/>
    <n v="2"/>
    <x v="0"/>
    <x v="7"/>
    <x v="1"/>
    <x v="1"/>
    <x v="1"/>
  </r>
  <r>
    <s v="TX500126"/>
    <x v="7"/>
    <x v="1"/>
    <n v="87.6"/>
    <n v="175.2"/>
    <d v="2025-01-05T00:00:00"/>
    <d v="2025-01-07T00:00:00"/>
    <s v="M"/>
    <x v="1"/>
    <n v="3"/>
    <x v="0"/>
    <x v="8"/>
    <x v="1"/>
    <x v="1"/>
    <x v="1"/>
  </r>
  <r>
    <s v="TX500127"/>
    <x v="6"/>
    <x v="2"/>
    <n v="84.5"/>
    <n v="253.5"/>
    <d v="2025-01-05T00:00:00"/>
    <d v="2025-01-06T00:00:00"/>
    <s v="F"/>
    <x v="1"/>
    <n v="3"/>
    <x v="0"/>
    <x v="8"/>
    <x v="3"/>
    <x v="1"/>
    <x v="2"/>
  </r>
  <r>
    <s v="TX500128"/>
    <x v="1"/>
    <x v="1"/>
    <n v="116.3"/>
    <n v="232.6"/>
    <d v="2025-01-06T00:00:00"/>
    <d v="2025-01-08T00:00:00"/>
    <s v="M"/>
    <x v="2"/>
    <n v="5"/>
    <x v="0"/>
    <x v="8"/>
    <x v="1"/>
    <x v="1"/>
    <x v="1"/>
  </r>
  <r>
    <s v="TX500129"/>
    <x v="6"/>
    <x v="9"/>
    <n v="52.7"/>
    <n v="263.5"/>
    <d v="2025-01-06T00:00:00"/>
    <d v="2025-01-10T00:00:00"/>
    <s v="M"/>
    <x v="0"/>
    <n v="4"/>
    <x v="0"/>
    <x v="8"/>
    <x v="5"/>
    <x v="1"/>
    <x v="1"/>
  </r>
  <r>
    <s v="TX500130"/>
    <x v="16"/>
    <x v="2"/>
    <n v="34.200000000000003"/>
    <n v="102.60000000000001"/>
    <d v="2025-01-06T00:00:00"/>
    <d v="2025-01-07T00:00:00"/>
    <s v="M"/>
    <x v="0"/>
    <n v="5"/>
    <x v="0"/>
    <x v="26"/>
    <x v="3"/>
    <x v="1"/>
    <x v="1"/>
  </r>
  <r>
    <s v="TX500131"/>
    <x v="9"/>
    <x v="0"/>
    <n v="23.3"/>
    <n v="23.3"/>
    <d v="2025-01-06T00:00:00"/>
    <d v="2025-01-15T00:00:00"/>
    <s v="O"/>
    <x v="2"/>
    <n v="5"/>
    <x v="0"/>
    <x v="9"/>
    <x v="8"/>
    <x v="1"/>
    <x v="3"/>
  </r>
  <r>
    <s v="TX500132"/>
    <x v="0"/>
    <x v="18"/>
    <n v="25.9"/>
    <n v="673.4"/>
    <d v="2025-01-06T00:00:00"/>
    <d v="2025-01-09T00:00:00"/>
    <s v="F"/>
    <x v="4"/>
    <n v="3"/>
    <x v="0"/>
    <x v="9"/>
    <x v="2"/>
    <x v="1"/>
    <x v="2"/>
  </r>
  <r>
    <s v="TX500133"/>
    <x v="6"/>
    <x v="19"/>
    <n v="54.9"/>
    <n v="1592.1"/>
    <d v="2025-01-06T00:00:00"/>
    <d v="2025-01-07T00:00:00"/>
    <s v="M"/>
    <x v="1"/>
    <n v="5"/>
    <x v="0"/>
    <x v="9"/>
    <x v="3"/>
    <x v="1"/>
    <x v="1"/>
  </r>
  <r>
    <s v="TX500134"/>
    <x v="5"/>
    <x v="2"/>
    <n v="75.8"/>
    <n v="227.39999999999998"/>
    <d v="2025-01-06T00:00:00"/>
    <d v="2025-01-11T00:00:00"/>
    <s v="O"/>
    <x v="1"/>
    <n v="4"/>
    <x v="0"/>
    <x v="18"/>
    <x v="0"/>
    <x v="1"/>
    <x v="3"/>
  </r>
  <r>
    <s v="TX500135"/>
    <x v="1"/>
    <x v="11"/>
    <n v="44.9"/>
    <n v="404.09999999999997"/>
    <d v="2025-01-06T00:00:00"/>
    <d v="2025-01-09T00:00:00"/>
    <s v="F"/>
    <x v="2"/>
    <n v="5"/>
    <x v="0"/>
    <x v="2"/>
    <x v="2"/>
    <x v="1"/>
    <x v="2"/>
  </r>
  <r>
    <s v="TX500136"/>
    <x v="11"/>
    <x v="1"/>
    <n v="48.8"/>
    <n v="97.6"/>
    <d v="2025-01-06T00:00:00"/>
    <d v="2025-01-08T00:00:00"/>
    <s v="F"/>
    <x v="3"/>
    <n v="4"/>
    <x v="0"/>
    <x v="27"/>
    <x v="1"/>
    <x v="1"/>
    <x v="2"/>
  </r>
  <r>
    <s v="TX500137"/>
    <x v="15"/>
    <x v="0"/>
    <n v="20.3"/>
    <n v="20.3"/>
    <d v="2025-01-06T00:00:00"/>
    <d v="2025-01-07T00:00:00"/>
    <s v="F"/>
    <x v="0"/>
    <n v="5"/>
    <x v="0"/>
    <x v="22"/>
    <x v="3"/>
    <x v="1"/>
    <x v="2"/>
  </r>
  <r>
    <s v="TX500138"/>
    <x v="5"/>
    <x v="3"/>
    <n v="36.4"/>
    <n v="254.79999999999998"/>
    <d v="2025-01-06T00:00:00"/>
    <d v="2025-01-09T00:00:00"/>
    <s v="F"/>
    <x v="0"/>
    <n v="3"/>
    <x v="0"/>
    <x v="3"/>
    <x v="2"/>
    <x v="1"/>
    <x v="2"/>
  </r>
  <r>
    <s v="TX500139"/>
    <x v="0"/>
    <x v="0"/>
    <n v="19"/>
    <n v="19"/>
    <d v="2025-01-06T00:00:00"/>
    <d v="2025-01-11T00:00:00"/>
    <s v="F"/>
    <x v="1"/>
    <n v="5"/>
    <x v="0"/>
    <x v="3"/>
    <x v="0"/>
    <x v="1"/>
    <x v="2"/>
  </r>
  <r>
    <s v="TX500140"/>
    <x v="8"/>
    <x v="0"/>
    <n v="17.8"/>
    <n v="17.8"/>
    <d v="2025-01-06T00:00:00"/>
    <d v="2025-01-06T00:00:00"/>
    <s v="M"/>
    <x v="0"/>
    <n v="4"/>
    <x v="0"/>
    <x v="3"/>
    <x v="7"/>
    <x v="1"/>
    <x v="1"/>
  </r>
  <r>
    <s v="TX500141"/>
    <x v="2"/>
    <x v="13"/>
    <n v="139.6"/>
    <n v="837.59999999999991"/>
    <d v="2025-01-06T00:00:00"/>
    <d v="2025-01-09T00:00:00"/>
    <s v="M"/>
    <x v="0"/>
    <n v="4"/>
    <x v="0"/>
    <x v="3"/>
    <x v="2"/>
    <x v="1"/>
    <x v="1"/>
  </r>
  <r>
    <s v="TX500142"/>
    <x v="9"/>
    <x v="0"/>
    <n v="31.7"/>
    <n v="31.7"/>
    <d v="2025-01-06T00:00:00"/>
    <d v="2025-01-06T00:00:00"/>
    <s v=""/>
    <x v="0"/>
    <n v="4"/>
    <x v="0"/>
    <x v="3"/>
    <x v="7"/>
    <x v="1"/>
    <x v="0"/>
  </r>
  <r>
    <s v="TX500143"/>
    <x v="8"/>
    <x v="8"/>
    <n v="26.3"/>
    <n v="210.4"/>
    <d v="2025-01-06T00:00:00"/>
    <d v="2025-01-09T00:00:00"/>
    <s v="F"/>
    <x v="4"/>
    <n v="2"/>
    <x v="0"/>
    <x v="3"/>
    <x v="2"/>
    <x v="1"/>
    <x v="2"/>
  </r>
  <r>
    <s v="TX500144"/>
    <x v="4"/>
    <x v="1"/>
    <n v="47.8"/>
    <n v="95.6"/>
    <d v="2025-01-06T00:00:00"/>
    <d v="2025-01-07T00:00:00"/>
    <s v=""/>
    <x v="0"/>
    <n v="4"/>
    <x v="0"/>
    <x v="3"/>
    <x v="3"/>
    <x v="1"/>
    <x v="0"/>
  </r>
  <r>
    <s v="TX500145"/>
    <x v="9"/>
    <x v="2"/>
    <n v="69.400000000000006"/>
    <n v="208.20000000000002"/>
    <d v="2025-01-06T00:00:00"/>
    <d v="2025-01-10T00:00:00"/>
    <s v="F"/>
    <x v="0"/>
    <n v="4"/>
    <x v="0"/>
    <x v="3"/>
    <x v="5"/>
    <x v="1"/>
    <x v="2"/>
  </r>
  <r>
    <s v="TX500146"/>
    <x v="18"/>
    <x v="4"/>
    <n v="25.8"/>
    <n v="309.60000000000002"/>
    <d v="2025-01-06T00:00:00"/>
    <d v="2025-01-07T00:00:00"/>
    <s v="M"/>
    <x v="4"/>
    <n v="2"/>
    <x v="0"/>
    <x v="3"/>
    <x v="3"/>
    <x v="1"/>
    <x v="1"/>
  </r>
  <r>
    <s v="TX500147"/>
    <x v="0"/>
    <x v="12"/>
    <n v="26.4"/>
    <n v="105.6"/>
    <d v="2025-01-06T00:00:00"/>
    <d v="2025-01-07T00:00:00"/>
    <s v="M"/>
    <x v="1"/>
    <n v="5"/>
    <x v="0"/>
    <x v="3"/>
    <x v="3"/>
    <x v="1"/>
    <x v="1"/>
  </r>
  <r>
    <s v="TX500148"/>
    <x v="8"/>
    <x v="12"/>
    <n v="15.7"/>
    <n v="62.8"/>
    <d v="2025-01-06T00:00:00"/>
    <d v="2025-01-07T00:00:00"/>
    <s v="M"/>
    <x v="2"/>
    <n v="4"/>
    <x v="0"/>
    <x v="3"/>
    <x v="3"/>
    <x v="1"/>
    <x v="1"/>
  </r>
  <r>
    <s v="TX500149"/>
    <x v="8"/>
    <x v="0"/>
    <n v="39.700000000000003"/>
    <n v="39.700000000000003"/>
    <d v="2025-01-06T00:00:00"/>
    <d v="2025-01-10T00:00:00"/>
    <s v="M"/>
    <x v="0"/>
    <n v="4"/>
    <x v="0"/>
    <x v="3"/>
    <x v="5"/>
    <x v="1"/>
    <x v="1"/>
  </r>
  <r>
    <s v="TX500150"/>
    <x v="10"/>
    <x v="12"/>
    <n v="31.1"/>
    <n v="124.4"/>
    <d v="2025-01-06T00:00:00"/>
    <d v="2025-01-08T00:00:00"/>
    <s v="F"/>
    <x v="2"/>
    <n v="3"/>
    <x v="0"/>
    <x v="3"/>
    <x v="1"/>
    <x v="1"/>
    <x v="2"/>
  </r>
  <r>
    <s v="TX500151"/>
    <x v="13"/>
    <x v="20"/>
    <n v="23.4"/>
    <n v="351"/>
    <d v="2025-01-06T00:00:00"/>
    <d v="2025-01-15T00:00:00"/>
    <s v="M"/>
    <x v="0"/>
    <n v="4"/>
    <x v="0"/>
    <x v="3"/>
    <x v="8"/>
    <x v="1"/>
    <x v="1"/>
  </r>
  <r>
    <s v="TX500152"/>
    <x v="1"/>
    <x v="12"/>
    <n v="57.1"/>
    <n v="228.4"/>
    <d v="2025-01-07T00:00:00"/>
    <d v="2025-01-08T00:00:00"/>
    <s v="M"/>
    <x v="2"/>
    <n v="4"/>
    <x v="0"/>
    <x v="25"/>
    <x v="3"/>
    <x v="1"/>
    <x v="1"/>
  </r>
  <r>
    <s v="TX500153"/>
    <x v="2"/>
    <x v="9"/>
    <n v="89.9"/>
    <n v="449.5"/>
    <d v="2025-01-07T00:00:00"/>
    <d v="2025-01-07T00:00:00"/>
    <s v="F"/>
    <x v="0"/>
    <n v="1"/>
    <x v="0"/>
    <x v="23"/>
    <x v="7"/>
    <x v="1"/>
    <x v="2"/>
  </r>
  <r>
    <s v="TX500154"/>
    <x v="10"/>
    <x v="3"/>
    <n v="48.1"/>
    <n v="336.7"/>
    <d v="2025-01-07T00:00:00"/>
    <d v="2025-01-09T00:00:00"/>
    <s v="F"/>
    <x v="1"/>
    <n v="5"/>
    <x v="0"/>
    <x v="6"/>
    <x v="1"/>
    <x v="1"/>
    <x v="2"/>
  </r>
  <r>
    <s v="TX500155"/>
    <x v="8"/>
    <x v="1"/>
    <n v="29.3"/>
    <n v="58.6"/>
    <d v="2025-01-07T00:00:00"/>
    <d v="2025-01-07T00:00:00"/>
    <s v="F"/>
    <x v="1"/>
    <n v="3"/>
    <x v="0"/>
    <x v="6"/>
    <x v="7"/>
    <x v="1"/>
    <x v="2"/>
  </r>
  <r>
    <s v="TX500156"/>
    <x v="8"/>
    <x v="12"/>
    <n v="28.8"/>
    <n v="115.2"/>
    <d v="2025-01-07T00:00:00"/>
    <d v="2025-01-08T00:00:00"/>
    <s v="F"/>
    <x v="0"/>
    <n v="2"/>
    <x v="0"/>
    <x v="6"/>
    <x v="3"/>
    <x v="1"/>
    <x v="2"/>
  </r>
  <r>
    <s v="TX500157"/>
    <x v="10"/>
    <x v="9"/>
    <n v="40.5"/>
    <n v="202.5"/>
    <d v="2025-01-07T00:00:00"/>
    <d v="2025-01-11T00:00:00"/>
    <s v="F"/>
    <x v="3"/>
    <n v="4"/>
    <x v="0"/>
    <x v="6"/>
    <x v="5"/>
    <x v="1"/>
    <x v="2"/>
  </r>
  <r>
    <s v="TX500158"/>
    <x v="18"/>
    <x v="21"/>
    <n v="65.099999999999994"/>
    <n v="911.39999999999986"/>
    <d v="2025-01-07T00:00:00"/>
    <d v="2025-01-08T00:00:00"/>
    <s v="F"/>
    <x v="4"/>
    <n v="4"/>
    <x v="0"/>
    <x v="7"/>
    <x v="3"/>
    <x v="1"/>
    <x v="2"/>
  </r>
  <r>
    <s v="TX500159"/>
    <x v="8"/>
    <x v="12"/>
    <n v="40.299999999999997"/>
    <n v="161.19999999999999"/>
    <d v="2025-01-07T00:00:00"/>
    <d v="2025-01-12T00:00:00"/>
    <s v="F"/>
    <x v="2"/>
    <n v="4"/>
    <x v="0"/>
    <x v="7"/>
    <x v="0"/>
    <x v="1"/>
    <x v="2"/>
  </r>
  <r>
    <s v="TX500160"/>
    <x v="6"/>
    <x v="9"/>
    <n v="51.8"/>
    <n v="259"/>
    <d v="2025-01-07T00:00:00"/>
    <d v="2025-01-08T00:00:00"/>
    <s v="M"/>
    <x v="2"/>
    <n v="5"/>
    <x v="0"/>
    <x v="8"/>
    <x v="3"/>
    <x v="1"/>
    <x v="1"/>
  </r>
  <r>
    <s v="TX500161"/>
    <x v="6"/>
    <x v="2"/>
    <n v="61.3"/>
    <n v="183.89999999999998"/>
    <d v="2025-01-07T00:00:00"/>
    <d v="2025-01-08T00:00:00"/>
    <s v="F"/>
    <x v="3"/>
    <n v="4"/>
    <x v="0"/>
    <x v="8"/>
    <x v="3"/>
    <x v="1"/>
    <x v="2"/>
  </r>
  <r>
    <s v="TX500162"/>
    <x v="2"/>
    <x v="12"/>
    <n v="122.5"/>
    <n v="490"/>
    <d v="2025-01-07T00:00:00"/>
    <d v="2025-01-08T00:00:00"/>
    <s v="M"/>
    <x v="0"/>
    <n v="4"/>
    <x v="0"/>
    <x v="8"/>
    <x v="3"/>
    <x v="1"/>
    <x v="1"/>
  </r>
  <r>
    <s v="TX500163"/>
    <x v="0"/>
    <x v="11"/>
    <n v="12.5"/>
    <n v="112.5"/>
    <d v="2025-01-07T00:00:00"/>
    <d v="2025-01-08T00:00:00"/>
    <s v=""/>
    <x v="1"/>
    <n v="5"/>
    <x v="0"/>
    <x v="8"/>
    <x v="3"/>
    <x v="1"/>
    <x v="0"/>
  </r>
  <r>
    <s v="TX500164"/>
    <x v="15"/>
    <x v="8"/>
    <n v="37.5"/>
    <n v="300"/>
    <d v="2025-01-07T00:00:00"/>
    <d v="2025-01-08T00:00:00"/>
    <s v="F"/>
    <x v="0"/>
    <n v="4"/>
    <x v="0"/>
    <x v="9"/>
    <x v="3"/>
    <x v="1"/>
    <x v="2"/>
  </r>
  <r>
    <s v="TX500165"/>
    <x v="6"/>
    <x v="2"/>
    <n v="40"/>
    <n v="120"/>
    <d v="2025-01-07T00:00:00"/>
    <d v="2025-01-10T00:00:00"/>
    <s v="M"/>
    <x v="0"/>
    <n v="2"/>
    <x v="0"/>
    <x v="11"/>
    <x v="2"/>
    <x v="1"/>
    <x v="1"/>
  </r>
  <r>
    <s v="TX500166"/>
    <x v="17"/>
    <x v="8"/>
    <n v="38.5"/>
    <n v="308"/>
    <d v="2025-01-07T00:00:00"/>
    <d v="2025-01-12T00:00:00"/>
    <s v="F"/>
    <x v="2"/>
    <n v="3"/>
    <x v="0"/>
    <x v="11"/>
    <x v="0"/>
    <x v="1"/>
    <x v="2"/>
  </r>
  <r>
    <s v="TX500167"/>
    <x v="2"/>
    <x v="1"/>
    <n v="86.4"/>
    <n v="172.8"/>
    <d v="2025-01-07T00:00:00"/>
    <d v="2025-01-09T00:00:00"/>
    <s v="F"/>
    <x v="0"/>
    <n v="4"/>
    <x v="0"/>
    <x v="18"/>
    <x v="1"/>
    <x v="1"/>
    <x v="2"/>
  </r>
  <r>
    <s v="TX500168"/>
    <x v="10"/>
    <x v="0"/>
    <n v="50.7"/>
    <n v="50.7"/>
    <d v="2025-01-07T00:00:00"/>
    <d v="2025-01-11T00:00:00"/>
    <s v="F"/>
    <x v="1"/>
    <n v="4"/>
    <x v="0"/>
    <x v="18"/>
    <x v="5"/>
    <x v="1"/>
    <x v="2"/>
  </r>
  <r>
    <s v="TX500169"/>
    <x v="10"/>
    <x v="1"/>
    <n v="61"/>
    <n v="122"/>
    <d v="2025-01-07T00:00:00"/>
    <d v="2025-01-18T00:00:00"/>
    <s v="F"/>
    <x v="4"/>
    <n v="3"/>
    <x v="0"/>
    <x v="18"/>
    <x v="11"/>
    <x v="1"/>
    <x v="2"/>
  </r>
  <r>
    <s v="TX500170"/>
    <x v="4"/>
    <x v="1"/>
    <n v="19.899999999999999"/>
    <n v="39.799999999999997"/>
    <d v="2025-01-07T00:00:00"/>
    <d v="2025-01-10T00:00:00"/>
    <s v="F"/>
    <x v="1"/>
    <n v="4"/>
    <x v="0"/>
    <x v="28"/>
    <x v="2"/>
    <x v="1"/>
    <x v="2"/>
  </r>
  <r>
    <s v="TX500171"/>
    <x v="5"/>
    <x v="0"/>
    <n v="78.3"/>
    <n v="78.3"/>
    <d v="2025-01-07T00:00:00"/>
    <d v="2025-01-07T00:00:00"/>
    <s v="F"/>
    <x v="0"/>
    <n v="5"/>
    <x v="0"/>
    <x v="1"/>
    <x v="7"/>
    <x v="1"/>
    <x v="2"/>
  </r>
  <r>
    <s v="TX500172"/>
    <x v="0"/>
    <x v="10"/>
    <n v="10.4"/>
    <n v="197.6"/>
    <d v="2025-01-07T00:00:00"/>
    <d v="2025-01-09T00:00:00"/>
    <s v="M"/>
    <x v="0"/>
    <n v="5"/>
    <x v="0"/>
    <x v="2"/>
    <x v="1"/>
    <x v="1"/>
    <x v="1"/>
  </r>
  <r>
    <s v="TX500173"/>
    <x v="10"/>
    <x v="0"/>
    <n v="36.1"/>
    <n v="36.1"/>
    <d v="2025-01-07T00:00:00"/>
    <d v="2025-01-10T00:00:00"/>
    <s v="M"/>
    <x v="3"/>
    <n v="5"/>
    <x v="0"/>
    <x v="3"/>
    <x v="2"/>
    <x v="1"/>
    <x v="1"/>
  </r>
  <r>
    <s v="TX500174"/>
    <x v="14"/>
    <x v="1"/>
    <n v="17.3"/>
    <n v="34.6"/>
    <d v="2025-01-07T00:00:00"/>
    <d v="2025-01-09T00:00:00"/>
    <s v="F"/>
    <x v="1"/>
    <n v="5"/>
    <x v="0"/>
    <x v="3"/>
    <x v="1"/>
    <x v="1"/>
    <x v="2"/>
  </r>
  <r>
    <s v="TX500175"/>
    <x v="10"/>
    <x v="1"/>
    <n v="30.5"/>
    <n v="61"/>
    <d v="2025-01-07T00:00:00"/>
    <d v="2025-01-08T00:00:00"/>
    <s v="F"/>
    <x v="1"/>
    <n v="5"/>
    <x v="0"/>
    <x v="3"/>
    <x v="3"/>
    <x v="1"/>
    <x v="2"/>
  </r>
  <r>
    <s v="TX500176"/>
    <x v="18"/>
    <x v="22"/>
    <n v="70.099999999999994"/>
    <n v="4346.2"/>
    <d v="2025-01-07T00:00:00"/>
    <d v="2025-01-07T00:00:00"/>
    <s v="F"/>
    <x v="2"/>
    <n v="4"/>
    <x v="0"/>
    <x v="3"/>
    <x v="7"/>
    <x v="1"/>
    <x v="2"/>
  </r>
  <r>
    <s v="TX500177"/>
    <x v="3"/>
    <x v="0"/>
    <n v="76.099999999999994"/>
    <n v="76.099999999999994"/>
    <d v="2025-01-07T00:00:00"/>
    <d v="2025-01-07T00:00:00"/>
    <s v="F"/>
    <x v="2"/>
    <n v="3"/>
    <x v="0"/>
    <x v="3"/>
    <x v="7"/>
    <x v="1"/>
    <x v="2"/>
  </r>
  <r>
    <s v="TX500178"/>
    <x v="15"/>
    <x v="15"/>
    <n v="34.200000000000003"/>
    <n v="444.6"/>
    <d v="2025-01-07T00:00:00"/>
    <d v="2025-01-08T00:00:00"/>
    <s v="M"/>
    <x v="0"/>
    <n v="4"/>
    <x v="0"/>
    <x v="3"/>
    <x v="3"/>
    <x v="1"/>
    <x v="1"/>
  </r>
  <r>
    <s v="TX500179"/>
    <x v="8"/>
    <x v="9"/>
    <n v="30.3"/>
    <n v="151.5"/>
    <d v="2025-01-07T00:00:00"/>
    <d v="2025-01-12T00:00:00"/>
    <s v="F"/>
    <x v="4"/>
    <n v="4"/>
    <x v="0"/>
    <x v="3"/>
    <x v="0"/>
    <x v="1"/>
    <x v="2"/>
  </r>
  <r>
    <s v="TX500180"/>
    <x v="6"/>
    <x v="9"/>
    <n v="52.5"/>
    <n v="262.5"/>
    <d v="2025-01-07T00:00:00"/>
    <d v="2025-01-11T00:00:00"/>
    <s v=""/>
    <x v="3"/>
    <n v="4"/>
    <x v="0"/>
    <x v="3"/>
    <x v="5"/>
    <x v="1"/>
    <x v="0"/>
  </r>
  <r>
    <s v="TX500181"/>
    <x v="9"/>
    <x v="5"/>
    <n v="28.7"/>
    <n v="315.7"/>
    <d v="2025-01-07T00:00:00"/>
    <d v="2025-01-08T00:00:00"/>
    <s v="F"/>
    <x v="2"/>
    <n v="4"/>
    <x v="0"/>
    <x v="3"/>
    <x v="3"/>
    <x v="1"/>
    <x v="2"/>
  </r>
  <r>
    <s v="TX500182"/>
    <x v="7"/>
    <x v="3"/>
    <n v="52"/>
    <n v="364"/>
    <d v="2025-01-07T00:00:00"/>
    <d v="2025-01-08T00:00:00"/>
    <s v="M"/>
    <x v="1"/>
    <n v="2"/>
    <x v="0"/>
    <x v="3"/>
    <x v="3"/>
    <x v="1"/>
    <x v="1"/>
  </r>
  <r>
    <s v="TX500183"/>
    <x v="0"/>
    <x v="0"/>
    <n v="13.3"/>
    <n v="13.3"/>
    <d v="2025-01-08T00:00:00"/>
    <d v="2025-01-12T00:00:00"/>
    <s v="F"/>
    <x v="2"/>
    <n v="3"/>
    <x v="0"/>
    <x v="3"/>
    <x v="5"/>
    <x v="1"/>
    <x v="2"/>
  </r>
  <r>
    <s v="TX500184"/>
    <x v="0"/>
    <x v="2"/>
    <n v="15.7"/>
    <n v="47.099999999999994"/>
    <d v="2025-01-08T00:00:00"/>
    <d v="2025-01-09T00:00:00"/>
    <s v="F"/>
    <x v="1"/>
    <n v="4"/>
    <x v="0"/>
    <x v="29"/>
    <x v="3"/>
    <x v="1"/>
    <x v="2"/>
  </r>
  <r>
    <s v="TX500185"/>
    <x v="8"/>
    <x v="1"/>
    <n v="25.6"/>
    <n v="51.2"/>
    <d v="2025-01-08T00:00:00"/>
    <d v="2025-01-09T00:00:00"/>
    <s v="M"/>
    <x v="0"/>
    <n v="5"/>
    <x v="0"/>
    <x v="23"/>
    <x v="3"/>
    <x v="1"/>
    <x v="1"/>
  </r>
  <r>
    <s v="TX500186"/>
    <x v="8"/>
    <x v="0"/>
    <n v="43.4"/>
    <n v="43.4"/>
    <d v="2025-01-08T00:00:00"/>
    <d v="2025-01-13T00:00:00"/>
    <s v="M"/>
    <x v="0"/>
    <n v="4"/>
    <x v="0"/>
    <x v="6"/>
    <x v="0"/>
    <x v="1"/>
    <x v="1"/>
  </r>
  <r>
    <s v="TX500187"/>
    <x v="11"/>
    <x v="11"/>
    <n v="33.4"/>
    <n v="300.59999999999997"/>
    <d v="2025-01-08T00:00:00"/>
    <d v="2025-01-08T00:00:00"/>
    <s v="F"/>
    <x v="0"/>
    <n v="4"/>
    <x v="0"/>
    <x v="8"/>
    <x v="7"/>
    <x v="1"/>
    <x v="2"/>
  </r>
  <r>
    <s v="TX500188"/>
    <x v="8"/>
    <x v="10"/>
    <n v="55"/>
    <n v="1045"/>
    <d v="2025-01-08T00:00:00"/>
    <d v="2025-01-09T00:00:00"/>
    <s v="F"/>
    <x v="1"/>
    <n v="5"/>
    <x v="0"/>
    <x v="8"/>
    <x v="3"/>
    <x v="1"/>
    <x v="2"/>
  </r>
  <r>
    <s v="TX500189"/>
    <x v="8"/>
    <x v="2"/>
    <n v="23.6"/>
    <n v="70.800000000000011"/>
    <d v="2025-01-08T00:00:00"/>
    <d v="2025-01-09T00:00:00"/>
    <s v="M"/>
    <x v="0"/>
    <n v="5"/>
    <x v="0"/>
    <x v="8"/>
    <x v="3"/>
    <x v="1"/>
    <x v="1"/>
  </r>
  <r>
    <s v="TX500190"/>
    <x v="12"/>
    <x v="11"/>
    <n v="104"/>
    <n v="936"/>
    <d v="2025-01-08T00:00:00"/>
    <d v="2025-01-10T00:00:00"/>
    <s v="F"/>
    <x v="2"/>
    <n v="5"/>
    <x v="0"/>
    <x v="17"/>
    <x v="1"/>
    <x v="1"/>
    <x v="2"/>
  </r>
  <r>
    <s v="TX500191"/>
    <x v="6"/>
    <x v="1"/>
    <n v="51.8"/>
    <n v="103.6"/>
    <d v="2025-01-08T00:00:00"/>
    <d v="2025-01-12T00:00:00"/>
    <s v=""/>
    <x v="0"/>
    <n v="5"/>
    <x v="0"/>
    <x v="10"/>
    <x v="5"/>
    <x v="1"/>
    <x v="0"/>
  </r>
  <r>
    <s v="TX500192"/>
    <x v="10"/>
    <x v="9"/>
    <n v="34.5"/>
    <n v="172.5"/>
    <d v="2025-01-08T00:00:00"/>
    <d v="2025-01-10T00:00:00"/>
    <s v=""/>
    <x v="2"/>
    <n v="5"/>
    <x v="0"/>
    <x v="11"/>
    <x v="1"/>
    <x v="1"/>
    <x v="0"/>
  </r>
  <r>
    <s v="TX500193"/>
    <x v="6"/>
    <x v="1"/>
    <n v="51.8"/>
    <n v="103.6"/>
    <d v="2025-01-08T00:00:00"/>
    <d v="2025-01-10T00:00:00"/>
    <s v="M"/>
    <x v="1"/>
    <n v="5"/>
    <x v="0"/>
    <x v="30"/>
    <x v="1"/>
    <x v="1"/>
    <x v="1"/>
  </r>
  <r>
    <s v="TX500194"/>
    <x v="18"/>
    <x v="23"/>
    <n v="131.5"/>
    <n v="5654.5"/>
    <d v="2025-01-08T00:00:00"/>
    <d v="2025-01-09T00:00:00"/>
    <s v="F"/>
    <x v="0"/>
    <n v="5"/>
    <x v="0"/>
    <x v="18"/>
    <x v="3"/>
    <x v="1"/>
    <x v="2"/>
  </r>
  <r>
    <s v="TX500195"/>
    <x v="8"/>
    <x v="3"/>
    <n v="47.8"/>
    <n v="334.59999999999997"/>
    <d v="2025-01-08T00:00:00"/>
    <d v="2025-01-08T00:00:00"/>
    <s v="F"/>
    <x v="0"/>
    <n v="4"/>
    <x v="0"/>
    <x v="19"/>
    <x v="7"/>
    <x v="1"/>
    <x v="2"/>
  </r>
  <r>
    <s v="TX500196"/>
    <x v="0"/>
    <x v="1"/>
    <n v="10.199999999999999"/>
    <n v="20.399999999999999"/>
    <d v="2025-01-08T00:00:00"/>
    <d v="2025-01-10T00:00:00"/>
    <s v="F"/>
    <x v="0"/>
    <n v="4"/>
    <x v="0"/>
    <x v="19"/>
    <x v="1"/>
    <x v="1"/>
    <x v="2"/>
  </r>
  <r>
    <s v="TX500197"/>
    <x v="8"/>
    <x v="8"/>
    <n v="41"/>
    <n v="328"/>
    <d v="2025-01-08T00:00:00"/>
    <d v="2025-01-08T00:00:00"/>
    <s v="F"/>
    <x v="1"/>
    <n v="5"/>
    <x v="0"/>
    <x v="19"/>
    <x v="7"/>
    <x v="1"/>
    <x v="2"/>
  </r>
  <r>
    <s v="TX500198"/>
    <x v="10"/>
    <x v="3"/>
    <n v="50.8"/>
    <n v="355.59999999999997"/>
    <d v="2025-01-08T00:00:00"/>
    <d v="2025-01-11T00:00:00"/>
    <s v="F"/>
    <x v="1"/>
    <n v="4"/>
    <x v="0"/>
    <x v="21"/>
    <x v="2"/>
    <x v="1"/>
    <x v="2"/>
  </r>
  <r>
    <s v="TX500199"/>
    <x v="18"/>
    <x v="2"/>
    <n v="39.6"/>
    <n v="118.80000000000001"/>
    <d v="2025-01-08T00:00:00"/>
    <d v="2025-01-09T00:00:00"/>
    <s v="M"/>
    <x v="2"/>
    <n v="5"/>
    <x v="0"/>
    <x v="1"/>
    <x v="3"/>
    <x v="1"/>
    <x v="1"/>
  </r>
  <r>
    <s v="TX500200"/>
    <x v="5"/>
    <x v="1"/>
    <n v="69.5"/>
    <n v="139"/>
    <d v="2025-01-08T00:00:00"/>
    <d v="2025-01-10T00:00:00"/>
    <s v="M"/>
    <x v="0"/>
    <n v="5"/>
    <x v="0"/>
    <x v="2"/>
    <x v="1"/>
    <x v="1"/>
    <x v="1"/>
  </r>
  <r>
    <s v="TX500201"/>
    <x v="8"/>
    <x v="8"/>
    <n v="32.6"/>
    <n v="260.8"/>
    <d v="2025-01-08T00:00:00"/>
    <d v="2025-01-11T00:00:00"/>
    <s v="M"/>
    <x v="1"/>
    <n v="4"/>
    <x v="0"/>
    <x v="3"/>
    <x v="2"/>
    <x v="1"/>
    <x v="1"/>
  </r>
  <r>
    <s v="TX500202"/>
    <x v="7"/>
    <x v="1"/>
    <n v="49.1"/>
    <n v="98.2"/>
    <d v="2025-01-08T00:00:00"/>
    <d v="2025-01-16T00:00:00"/>
    <s v="M"/>
    <x v="3"/>
    <n v="5"/>
    <x v="0"/>
    <x v="3"/>
    <x v="9"/>
    <x v="1"/>
    <x v="1"/>
  </r>
  <r>
    <s v="TX500203"/>
    <x v="6"/>
    <x v="1"/>
    <n v="49.4"/>
    <n v="98.8"/>
    <d v="2025-01-09T00:00:00"/>
    <d v="2025-01-10T00:00:00"/>
    <s v="F"/>
    <x v="2"/>
    <n v="4"/>
    <x v="0"/>
    <x v="3"/>
    <x v="3"/>
    <x v="1"/>
    <x v="2"/>
  </r>
  <r>
    <s v="TX500204"/>
    <x v="7"/>
    <x v="3"/>
    <n v="65.099999999999994"/>
    <n v="455.69999999999993"/>
    <d v="2025-01-09T00:00:00"/>
    <d v="2025-01-12T00:00:00"/>
    <s v="F"/>
    <x v="2"/>
    <n v="5"/>
    <x v="0"/>
    <x v="3"/>
    <x v="2"/>
    <x v="1"/>
    <x v="2"/>
  </r>
  <r>
    <s v="TX500205"/>
    <x v="3"/>
    <x v="1"/>
    <n v="52.1"/>
    <n v="104.2"/>
    <d v="2025-01-09T00:00:00"/>
    <d v="2025-01-13T00:00:00"/>
    <s v="F"/>
    <x v="2"/>
    <n v="4"/>
    <x v="0"/>
    <x v="3"/>
    <x v="5"/>
    <x v="1"/>
    <x v="2"/>
  </r>
  <r>
    <s v="TX500206"/>
    <x v="2"/>
    <x v="12"/>
    <n v="129.19999999999999"/>
    <n v="516.79999999999995"/>
    <d v="2025-01-09T00:00:00"/>
    <d v="2025-01-10T00:00:00"/>
    <s v="F"/>
    <x v="1"/>
    <n v="4"/>
    <x v="0"/>
    <x v="3"/>
    <x v="3"/>
    <x v="1"/>
    <x v="2"/>
  </r>
  <r>
    <s v="TX500207"/>
    <x v="1"/>
    <x v="10"/>
    <n v="81.8"/>
    <n v="1554.2"/>
    <d v="2025-01-09T00:00:00"/>
    <d v="2025-01-09T00:00:00"/>
    <s v="F"/>
    <x v="1"/>
    <n v="3"/>
    <x v="0"/>
    <x v="3"/>
    <x v="7"/>
    <x v="1"/>
    <x v="2"/>
  </r>
  <r>
    <s v="TX500208"/>
    <x v="17"/>
    <x v="0"/>
    <n v="24.9"/>
    <n v="24.9"/>
    <d v="2025-01-09T00:00:00"/>
    <d v="2025-01-13T00:00:00"/>
    <s v="F"/>
    <x v="1"/>
    <n v="4"/>
    <x v="0"/>
    <x v="3"/>
    <x v="5"/>
    <x v="1"/>
    <x v="2"/>
  </r>
  <r>
    <s v="TX500209"/>
    <x v="0"/>
    <x v="2"/>
    <n v="49.4"/>
    <n v="148.19999999999999"/>
    <d v="2025-01-09T00:00:00"/>
    <d v="2025-01-12T00:00:00"/>
    <s v="F"/>
    <x v="4"/>
    <n v="2"/>
    <x v="0"/>
    <x v="3"/>
    <x v="2"/>
    <x v="1"/>
    <x v="2"/>
  </r>
  <r>
    <s v="TX500210"/>
    <x v="8"/>
    <x v="1"/>
    <n v="22.7"/>
    <n v="45.4"/>
    <d v="2025-01-09T00:00:00"/>
    <d v="2025-01-10T00:00:00"/>
    <s v="M"/>
    <x v="3"/>
    <n v="5"/>
    <x v="0"/>
    <x v="3"/>
    <x v="3"/>
    <x v="1"/>
    <x v="1"/>
  </r>
  <r>
    <s v="TX500211"/>
    <x v="1"/>
    <x v="0"/>
    <n v="77.3"/>
    <n v="77.3"/>
    <d v="2025-01-09T00:00:00"/>
    <d v="2025-01-09T00:00:00"/>
    <s v="F"/>
    <x v="0"/>
    <n v="5"/>
    <x v="0"/>
    <x v="6"/>
    <x v="7"/>
    <x v="1"/>
    <x v="2"/>
  </r>
  <r>
    <s v="TX500212"/>
    <x v="1"/>
    <x v="9"/>
    <n v="109.1"/>
    <n v="545.5"/>
    <d v="2025-01-09T00:00:00"/>
    <d v="2025-01-12T00:00:00"/>
    <s v="F"/>
    <x v="0"/>
    <n v="4"/>
    <x v="0"/>
    <x v="6"/>
    <x v="2"/>
    <x v="1"/>
    <x v="2"/>
  </r>
  <r>
    <s v="TX500213"/>
    <x v="2"/>
    <x v="12"/>
    <n v="53.9"/>
    <n v="215.6"/>
    <d v="2025-01-09T00:00:00"/>
    <d v="2025-01-10T00:00:00"/>
    <s v="M"/>
    <x v="0"/>
    <n v="3"/>
    <x v="0"/>
    <x v="8"/>
    <x v="3"/>
    <x v="1"/>
    <x v="1"/>
  </r>
  <r>
    <s v="TX500214"/>
    <x v="9"/>
    <x v="18"/>
    <n v="21.2"/>
    <n v="551.19999999999993"/>
    <d v="2025-01-09T00:00:00"/>
    <d v="2025-01-09T00:00:00"/>
    <s v="F"/>
    <x v="0"/>
    <n v="4"/>
    <x v="0"/>
    <x v="9"/>
    <x v="7"/>
    <x v="1"/>
    <x v="2"/>
  </r>
  <r>
    <s v="TX500215"/>
    <x v="16"/>
    <x v="12"/>
    <n v="69"/>
    <n v="276"/>
    <d v="2025-01-09T00:00:00"/>
    <d v="2025-01-11T00:00:00"/>
    <s v="F"/>
    <x v="1"/>
    <n v="3"/>
    <x v="0"/>
    <x v="18"/>
    <x v="1"/>
    <x v="1"/>
    <x v="2"/>
  </r>
  <r>
    <s v="TX500216"/>
    <x v="6"/>
    <x v="2"/>
    <n v="46.2"/>
    <n v="138.60000000000002"/>
    <d v="2025-01-09T00:00:00"/>
    <d v="2025-01-11T00:00:00"/>
    <s v="F"/>
    <x v="0"/>
    <n v="5"/>
    <x v="0"/>
    <x v="31"/>
    <x v="1"/>
    <x v="1"/>
    <x v="2"/>
  </r>
  <r>
    <s v="TX500217"/>
    <x v="1"/>
    <x v="9"/>
    <n v="97.4"/>
    <n v="487"/>
    <d v="2025-01-09T00:00:00"/>
    <d v="2025-01-13T00:00:00"/>
    <s v="F"/>
    <x v="4"/>
    <n v="5"/>
    <x v="0"/>
    <x v="21"/>
    <x v="5"/>
    <x v="1"/>
    <x v="2"/>
  </r>
  <r>
    <s v="TX500218"/>
    <x v="8"/>
    <x v="9"/>
    <n v="21"/>
    <n v="105"/>
    <d v="2025-01-09T00:00:00"/>
    <d v="2025-01-10T00:00:00"/>
    <s v="M"/>
    <x v="0"/>
    <n v="3"/>
    <x v="0"/>
    <x v="21"/>
    <x v="3"/>
    <x v="1"/>
    <x v="1"/>
  </r>
  <r>
    <s v="TX500219"/>
    <x v="5"/>
    <x v="1"/>
    <n v="32.700000000000003"/>
    <n v="65.400000000000006"/>
    <d v="2025-01-10T00:00:00"/>
    <d v="2025-01-13T00:00:00"/>
    <s v="F"/>
    <x v="1"/>
    <n v="4"/>
    <x v="0"/>
    <x v="2"/>
    <x v="2"/>
    <x v="1"/>
    <x v="2"/>
  </r>
  <r>
    <s v="TX500220"/>
    <x v="6"/>
    <x v="12"/>
    <n v="48"/>
    <n v="192"/>
    <d v="2025-01-10T00:00:00"/>
    <d v="2025-01-11T00:00:00"/>
    <s v="M"/>
    <x v="3"/>
    <n v="4"/>
    <x v="0"/>
    <x v="3"/>
    <x v="3"/>
    <x v="1"/>
    <x v="1"/>
  </r>
  <r>
    <s v="TX500221"/>
    <x v="6"/>
    <x v="2"/>
    <n v="68.2"/>
    <n v="204.60000000000002"/>
    <d v="2025-01-10T00:00:00"/>
    <d v="2025-01-14T00:00:00"/>
    <s v=""/>
    <x v="0"/>
    <n v="5"/>
    <x v="0"/>
    <x v="3"/>
    <x v="5"/>
    <x v="1"/>
    <x v="0"/>
  </r>
  <r>
    <s v="TX500222"/>
    <x v="5"/>
    <x v="0"/>
    <n v="45.4"/>
    <n v="45.4"/>
    <d v="2025-01-10T00:00:00"/>
    <d v="2025-01-12T00:00:00"/>
    <s v="M"/>
    <x v="1"/>
    <n v="4"/>
    <x v="0"/>
    <x v="3"/>
    <x v="1"/>
    <x v="1"/>
    <x v="1"/>
  </r>
  <r>
    <s v="TX500223"/>
    <x v="12"/>
    <x v="1"/>
    <n v="53.9"/>
    <n v="107.8"/>
    <d v="2025-01-10T00:00:00"/>
    <d v="2025-01-11T00:00:00"/>
    <s v="F"/>
    <x v="2"/>
    <n v="4"/>
    <x v="0"/>
    <x v="3"/>
    <x v="3"/>
    <x v="1"/>
    <x v="2"/>
  </r>
  <r>
    <s v="TX500224"/>
    <x v="2"/>
    <x v="12"/>
    <n v="62.1"/>
    <n v="248.4"/>
    <d v="2025-01-10T00:00:00"/>
    <d v="2025-01-14T00:00:00"/>
    <s v="F"/>
    <x v="0"/>
    <n v="4"/>
    <x v="0"/>
    <x v="4"/>
    <x v="5"/>
    <x v="1"/>
    <x v="2"/>
  </r>
  <r>
    <s v="TX500225"/>
    <x v="13"/>
    <x v="3"/>
    <n v="33.1"/>
    <n v="231.70000000000002"/>
    <d v="2025-01-10T00:00:00"/>
    <d v="2025-01-15T00:00:00"/>
    <s v="M"/>
    <x v="1"/>
    <n v="4"/>
    <x v="0"/>
    <x v="6"/>
    <x v="0"/>
    <x v="1"/>
    <x v="1"/>
  </r>
  <r>
    <s v="TX500226"/>
    <x v="18"/>
    <x v="9"/>
    <n v="35.200000000000003"/>
    <n v="176"/>
    <d v="2025-01-10T00:00:00"/>
    <d v="2025-01-10T00:00:00"/>
    <s v="F"/>
    <x v="1"/>
    <n v="4"/>
    <x v="0"/>
    <x v="6"/>
    <x v="7"/>
    <x v="1"/>
    <x v="2"/>
  </r>
  <r>
    <s v="TX500227"/>
    <x v="9"/>
    <x v="2"/>
    <n v="32.1"/>
    <n v="96.300000000000011"/>
    <d v="2025-01-10T00:00:00"/>
    <d v="2025-01-15T00:00:00"/>
    <s v="M"/>
    <x v="3"/>
    <n v="4"/>
    <x v="0"/>
    <x v="8"/>
    <x v="0"/>
    <x v="1"/>
    <x v="1"/>
  </r>
  <r>
    <s v="TX500228"/>
    <x v="11"/>
    <x v="0"/>
    <n v="38.1"/>
    <n v="38.1"/>
    <d v="2025-01-10T00:00:00"/>
    <d v="2025-01-15T00:00:00"/>
    <s v="F"/>
    <x v="0"/>
    <n v="5"/>
    <x v="0"/>
    <x v="8"/>
    <x v="0"/>
    <x v="1"/>
    <x v="2"/>
  </r>
  <r>
    <s v="TX500229"/>
    <x v="8"/>
    <x v="0"/>
    <n v="65.2"/>
    <n v="65.2"/>
    <d v="2025-01-10T00:00:00"/>
    <d v="2025-01-15T00:00:00"/>
    <s v="F"/>
    <x v="3"/>
    <n v="3"/>
    <x v="0"/>
    <x v="8"/>
    <x v="0"/>
    <x v="1"/>
    <x v="2"/>
  </r>
  <r>
    <s v="TX500230"/>
    <x v="10"/>
    <x v="3"/>
    <n v="55.2"/>
    <n v="386.40000000000003"/>
    <d v="2025-01-10T00:00:00"/>
    <d v="2025-01-11T00:00:00"/>
    <s v="M"/>
    <x v="2"/>
    <n v="4"/>
    <x v="0"/>
    <x v="11"/>
    <x v="3"/>
    <x v="1"/>
    <x v="1"/>
  </r>
  <r>
    <s v="TX500231"/>
    <x v="6"/>
    <x v="0"/>
    <n v="62"/>
    <n v="62"/>
    <d v="2025-01-10T00:00:00"/>
    <d v="2025-01-14T00:00:00"/>
    <s v="F"/>
    <x v="0"/>
    <n v="4"/>
    <x v="0"/>
    <x v="11"/>
    <x v="5"/>
    <x v="1"/>
    <x v="2"/>
  </r>
  <r>
    <s v="TX500232"/>
    <x v="7"/>
    <x v="2"/>
    <n v="45.9"/>
    <n v="137.69999999999999"/>
    <d v="2025-01-10T00:00:00"/>
    <d v="2025-01-11T00:00:00"/>
    <s v="F"/>
    <x v="2"/>
    <n v="4"/>
    <x v="0"/>
    <x v="32"/>
    <x v="3"/>
    <x v="1"/>
    <x v="2"/>
  </r>
  <r>
    <s v="TX500233"/>
    <x v="18"/>
    <x v="2"/>
    <n v="58.3"/>
    <n v="174.89999999999998"/>
    <d v="2025-01-10T00:00:00"/>
    <d v="2025-01-10T00:00:00"/>
    <s v="M"/>
    <x v="1"/>
    <n v="3"/>
    <x v="0"/>
    <x v="18"/>
    <x v="7"/>
    <x v="1"/>
    <x v="1"/>
  </r>
  <r>
    <s v="TX500234"/>
    <x v="8"/>
    <x v="1"/>
    <n v="22.3"/>
    <n v="44.6"/>
    <d v="2025-01-10T00:00:00"/>
    <d v="2025-01-13T00:00:00"/>
    <s v="F"/>
    <x v="0"/>
    <n v="5"/>
    <x v="0"/>
    <x v="20"/>
    <x v="2"/>
    <x v="1"/>
    <x v="2"/>
  </r>
  <r>
    <s v="TX500235"/>
    <x v="19"/>
    <x v="9"/>
    <n v="24"/>
    <n v="120"/>
    <d v="2025-01-10T00:00:00"/>
    <d v="2025-01-11T00:00:00"/>
    <s v="M"/>
    <x v="4"/>
    <n v="4"/>
    <x v="0"/>
    <x v="1"/>
    <x v="3"/>
    <x v="1"/>
    <x v="1"/>
  </r>
  <r>
    <s v="TX500236"/>
    <x v="0"/>
    <x v="7"/>
    <n v="21.3"/>
    <n v="213"/>
    <d v="2025-01-10T00:00:00"/>
    <d v="2025-01-10T00:00:00"/>
    <s v="F"/>
    <x v="1"/>
    <n v="5"/>
    <x v="0"/>
    <x v="22"/>
    <x v="7"/>
    <x v="1"/>
    <x v="2"/>
  </r>
  <r>
    <s v="TX500237"/>
    <x v="6"/>
    <x v="24"/>
    <n v="57.8"/>
    <n v="2369.7999999999997"/>
    <d v="2025-01-10T00:00:00"/>
    <d v="2025-01-12T00:00:00"/>
    <s v="F"/>
    <x v="0"/>
    <n v="5"/>
    <x v="0"/>
    <x v="3"/>
    <x v="1"/>
    <x v="1"/>
    <x v="2"/>
  </r>
  <r>
    <s v="TX500238"/>
    <x v="10"/>
    <x v="2"/>
    <n v="67.599999999999994"/>
    <n v="202.79999999999998"/>
    <d v="2025-01-10T00:00:00"/>
    <d v="2025-01-11T00:00:00"/>
    <s v="F"/>
    <x v="0"/>
    <n v="4"/>
    <x v="0"/>
    <x v="3"/>
    <x v="3"/>
    <x v="1"/>
    <x v="2"/>
  </r>
  <r>
    <s v="TX500239"/>
    <x v="6"/>
    <x v="13"/>
    <n v="66.7"/>
    <n v="400.20000000000005"/>
    <d v="2025-01-10T00:00:00"/>
    <d v="2025-01-14T00:00:00"/>
    <s v="M"/>
    <x v="4"/>
    <n v="3"/>
    <x v="0"/>
    <x v="3"/>
    <x v="5"/>
    <x v="1"/>
    <x v="1"/>
  </r>
  <r>
    <s v="TX500240"/>
    <x v="1"/>
    <x v="12"/>
    <n v="53.1"/>
    <n v="212.4"/>
    <d v="2025-01-10T00:00:00"/>
    <d v="2025-01-12T00:00:00"/>
    <s v="F"/>
    <x v="1"/>
    <n v="4"/>
    <x v="0"/>
    <x v="3"/>
    <x v="1"/>
    <x v="1"/>
    <x v="2"/>
  </r>
  <r>
    <s v="TX500241"/>
    <x v="12"/>
    <x v="2"/>
    <n v="57.4"/>
    <n v="172.2"/>
    <d v="2025-01-10T00:00:00"/>
    <d v="2025-01-13T00:00:00"/>
    <s v="F"/>
    <x v="0"/>
    <n v="5"/>
    <x v="0"/>
    <x v="29"/>
    <x v="2"/>
    <x v="1"/>
    <x v="2"/>
  </r>
  <r>
    <s v="TX500242"/>
    <x v="2"/>
    <x v="9"/>
    <n v="58.1"/>
    <n v="290.5"/>
    <d v="2025-01-10T00:00:00"/>
    <d v="2025-01-10T00:00:00"/>
    <s v="M"/>
    <x v="2"/>
    <n v="5"/>
    <x v="0"/>
    <x v="6"/>
    <x v="7"/>
    <x v="1"/>
    <x v="1"/>
  </r>
  <r>
    <s v="TX500243"/>
    <x v="5"/>
    <x v="2"/>
    <n v="31.8"/>
    <n v="95.4"/>
    <d v="2025-01-11T00:00:00"/>
    <d v="2025-01-13T00:00:00"/>
    <s v="M"/>
    <x v="3"/>
    <n v="4"/>
    <x v="0"/>
    <x v="6"/>
    <x v="1"/>
    <x v="1"/>
    <x v="1"/>
  </r>
  <r>
    <s v="TX500244"/>
    <x v="4"/>
    <x v="2"/>
    <n v="31.5"/>
    <n v="94.5"/>
    <d v="2025-01-11T00:00:00"/>
    <d v="2025-01-14T00:00:00"/>
    <s v="M"/>
    <x v="0"/>
    <n v="3"/>
    <x v="0"/>
    <x v="8"/>
    <x v="2"/>
    <x v="1"/>
    <x v="1"/>
  </r>
  <r>
    <s v="TX500245"/>
    <x v="6"/>
    <x v="3"/>
    <n v="55.9"/>
    <n v="391.3"/>
    <d v="2025-01-11T00:00:00"/>
    <d v="2025-01-15T00:00:00"/>
    <s v="F"/>
    <x v="1"/>
    <n v="5"/>
    <x v="0"/>
    <x v="8"/>
    <x v="5"/>
    <x v="1"/>
    <x v="2"/>
  </r>
  <r>
    <s v="TX500246"/>
    <x v="8"/>
    <x v="1"/>
    <n v="36.4"/>
    <n v="72.8"/>
    <d v="2025-01-11T00:00:00"/>
    <d v="2025-01-12T00:00:00"/>
    <s v="M"/>
    <x v="1"/>
    <n v="3"/>
    <x v="0"/>
    <x v="9"/>
    <x v="3"/>
    <x v="1"/>
    <x v="1"/>
  </r>
  <r>
    <s v="TX500247"/>
    <x v="1"/>
    <x v="9"/>
    <n v="47.3"/>
    <n v="236.5"/>
    <d v="2025-01-11T00:00:00"/>
    <d v="2025-01-14T00:00:00"/>
    <s v="M"/>
    <x v="2"/>
    <n v="4"/>
    <x v="0"/>
    <x v="10"/>
    <x v="2"/>
    <x v="1"/>
    <x v="1"/>
  </r>
  <r>
    <s v="TX500248"/>
    <x v="6"/>
    <x v="2"/>
    <n v="82.5"/>
    <n v="247.5"/>
    <d v="2025-01-11T00:00:00"/>
    <d v="2025-01-12T00:00:00"/>
    <s v="M"/>
    <x v="0"/>
    <n v="4"/>
    <x v="0"/>
    <x v="11"/>
    <x v="3"/>
    <x v="1"/>
    <x v="1"/>
  </r>
  <r>
    <s v="TX500249"/>
    <x v="0"/>
    <x v="0"/>
    <n v="14.3"/>
    <n v="14.3"/>
    <d v="2025-01-11T00:00:00"/>
    <d v="2025-01-12T00:00:00"/>
    <s v="F"/>
    <x v="0"/>
    <n v="4"/>
    <x v="0"/>
    <x v="21"/>
    <x v="3"/>
    <x v="1"/>
    <x v="2"/>
  </r>
  <r>
    <s v="TX500250"/>
    <x v="2"/>
    <x v="13"/>
    <n v="57.6"/>
    <n v="345.6"/>
    <d v="2025-01-11T00:00:00"/>
    <d v="2025-01-25T00:00:00"/>
    <s v="F"/>
    <x v="0"/>
    <n v="4"/>
    <x v="0"/>
    <x v="21"/>
    <x v="12"/>
    <x v="1"/>
    <x v="2"/>
  </r>
  <r>
    <s v="TX500251"/>
    <x v="2"/>
    <x v="2"/>
    <n v="142.4"/>
    <n v="427.20000000000005"/>
    <d v="2025-01-11T00:00:00"/>
    <d v="2025-01-13T00:00:00"/>
    <s v="M"/>
    <x v="4"/>
    <n v="3"/>
    <x v="0"/>
    <x v="21"/>
    <x v="1"/>
    <x v="1"/>
    <x v="1"/>
  </r>
  <r>
    <s v="TX500252"/>
    <x v="12"/>
    <x v="0"/>
    <n v="30.2"/>
    <n v="30.2"/>
    <d v="2025-01-11T00:00:00"/>
    <d v="2025-01-15T00:00:00"/>
    <s v="M"/>
    <x v="1"/>
    <n v="5"/>
    <x v="0"/>
    <x v="2"/>
    <x v="5"/>
    <x v="1"/>
    <x v="1"/>
  </r>
  <r>
    <s v="TX500253"/>
    <x v="18"/>
    <x v="2"/>
    <n v="65.3"/>
    <n v="195.89999999999998"/>
    <d v="2025-01-11T00:00:00"/>
    <d v="2025-01-12T00:00:00"/>
    <s v="O"/>
    <x v="1"/>
    <n v="4"/>
    <x v="0"/>
    <x v="33"/>
    <x v="3"/>
    <x v="1"/>
    <x v="3"/>
  </r>
  <r>
    <s v="TX500254"/>
    <x v="0"/>
    <x v="1"/>
    <n v="33.4"/>
    <n v="66.8"/>
    <d v="2025-01-11T00:00:00"/>
    <d v="2025-01-12T00:00:00"/>
    <s v="M"/>
    <x v="1"/>
    <n v="3"/>
    <x v="0"/>
    <x v="22"/>
    <x v="3"/>
    <x v="1"/>
    <x v="1"/>
  </r>
  <r>
    <s v="TX500255"/>
    <x v="7"/>
    <x v="1"/>
    <n v="45.1"/>
    <n v="90.2"/>
    <d v="2025-01-11T00:00:00"/>
    <d v="2025-01-19T00:00:00"/>
    <s v="M"/>
    <x v="0"/>
    <n v="4"/>
    <x v="0"/>
    <x v="34"/>
    <x v="9"/>
    <x v="1"/>
    <x v="1"/>
  </r>
  <r>
    <s v="TX500256"/>
    <x v="2"/>
    <x v="3"/>
    <n v="61.7"/>
    <n v="431.90000000000003"/>
    <d v="2025-01-11T00:00:00"/>
    <d v="2025-01-13T00:00:00"/>
    <s v="F"/>
    <x v="4"/>
    <n v="4"/>
    <x v="0"/>
    <x v="3"/>
    <x v="1"/>
    <x v="1"/>
    <x v="2"/>
  </r>
  <r>
    <s v="TX500257"/>
    <x v="9"/>
    <x v="2"/>
    <n v="45.1"/>
    <n v="135.30000000000001"/>
    <d v="2025-01-12T00:00:00"/>
    <d v="2025-01-13T00:00:00"/>
    <s v="M"/>
    <x v="4"/>
    <n v="3"/>
    <x v="0"/>
    <x v="3"/>
    <x v="3"/>
    <x v="2"/>
    <x v="1"/>
  </r>
  <r>
    <s v="TX500258"/>
    <x v="15"/>
    <x v="9"/>
    <n v="22.7"/>
    <n v="113.5"/>
    <d v="2025-01-12T00:00:00"/>
    <d v="2025-01-17T00:00:00"/>
    <s v="M"/>
    <x v="0"/>
    <n v="5"/>
    <x v="0"/>
    <x v="35"/>
    <x v="0"/>
    <x v="2"/>
    <x v="1"/>
  </r>
  <r>
    <s v="TX500259"/>
    <x v="8"/>
    <x v="0"/>
    <n v="17.600000000000001"/>
    <n v="17.600000000000001"/>
    <d v="2025-01-12T00:00:00"/>
    <d v="2025-01-13T00:00:00"/>
    <s v="F"/>
    <x v="0"/>
    <n v="5"/>
    <x v="0"/>
    <x v="23"/>
    <x v="3"/>
    <x v="2"/>
    <x v="2"/>
  </r>
  <r>
    <s v="TX500260"/>
    <x v="14"/>
    <x v="1"/>
    <n v="11.3"/>
    <n v="22.6"/>
    <d v="2025-01-12T00:00:00"/>
    <d v="2025-01-15T00:00:00"/>
    <s v="F"/>
    <x v="3"/>
    <n v="5"/>
    <x v="0"/>
    <x v="23"/>
    <x v="2"/>
    <x v="2"/>
    <x v="2"/>
  </r>
  <r>
    <s v="TX500261"/>
    <x v="6"/>
    <x v="2"/>
    <n v="53.4"/>
    <n v="160.19999999999999"/>
    <d v="2025-01-12T00:00:00"/>
    <d v="2025-01-15T00:00:00"/>
    <s v="M"/>
    <x v="3"/>
    <n v="5"/>
    <x v="0"/>
    <x v="36"/>
    <x v="2"/>
    <x v="2"/>
    <x v="1"/>
  </r>
  <r>
    <s v="TX500262"/>
    <x v="6"/>
    <x v="5"/>
    <n v="51.1"/>
    <n v="562.1"/>
    <d v="2025-01-12T00:00:00"/>
    <d v="2025-01-14T00:00:00"/>
    <s v="F"/>
    <x v="2"/>
    <n v="5"/>
    <x v="0"/>
    <x v="8"/>
    <x v="1"/>
    <x v="2"/>
    <x v="2"/>
  </r>
  <r>
    <s v="TX500263"/>
    <x v="8"/>
    <x v="1"/>
    <n v="27.5"/>
    <n v="55"/>
    <d v="2025-01-12T00:00:00"/>
    <d v="2025-01-13T00:00:00"/>
    <s v="M"/>
    <x v="4"/>
    <n v="3"/>
    <x v="0"/>
    <x v="8"/>
    <x v="3"/>
    <x v="2"/>
    <x v="1"/>
  </r>
  <r>
    <s v="TX500264"/>
    <x v="9"/>
    <x v="0"/>
    <n v="33.5"/>
    <n v="33.5"/>
    <d v="2025-01-12T00:00:00"/>
    <d v="2025-01-14T00:00:00"/>
    <s v="F"/>
    <x v="0"/>
    <n v="2"/>
    <x v="0"/>
    <x v="8"/>
    <x v="1"/>
    <x v="2"/>
    <x v="2"/>
  </r>
  <r>
    <s v="TX500265"/>
    <x v="4"/>
    <x v="0"/>
    <n v="59.5"/>
    <n v="59.5"/>
    <d v="2025-01-12T00:00:00"/>
    <d v="2025-01-12T00:00:00"/>
    <s v="M"/>
    <x v="0"/>
    <n v="5"/>
    <x v="0"/>
    <x v="18"/>
    <x v="7"/>
    <x v="2"/>
    <x v="1"/>
  </r>
  <r>
    <s v="TX500266"/>
    <x v="17"/>
    <x v="12"/>
    <n v="23.5"/>
    <n v="94"/>
    <d v="2025-01-12T00:00:00"/>
    <d v="2025-01-13T00:00:00"/>
    <s v="F"/>
    <x v="3"/>
    <n v="1"/>
    <x v="0"/>
    <x v="19"/>
    <x v="3"/>
    <x v="2"/>
    <x v="2"/>
  </r>
  <r>
    <s v="TX500267"/>
    <x v="6"/>
    <x v="0"/>
    <n v="49.7"/>
    <n v="49.7"/>
    <d v="2025-01-12T00:00:00"/>
    <d v="2025-01-13T00:00:00"/>
    <s v=""/>
    <x v="1"/>
    <n v="5"/>
    <x v="0"/>
    <x v="20"/>
    <x v="3"/>
    <x v="2"/>
    <x v="0"/>
  </r>
  <r>
    <s v="TX500268"/>
    <x v="6"/>
    <x v="12"/>
    <n v="44.2"/>
    <n v="176.8"/>
    <d v="2025-01-12T00:00:00"/>
    <d v="2025-01-15T00:00:00"/>
    <s v="F"/>
    <x v="0"/>
    <n v="5"/>
    <x v="0"/>
    <x v="21"/>
    <x v="2"/>
    <x v="2"/>
    <x v="2"/>
  </r>
  <r>
    <s v="TX500269"/>
    <x v="8"/>
    <x v="0"/>
    <n v="22.1"/>
    <n v="22.1"/>
    <d v="2025-01-12T00:00:00"/>
    <d v="2025-01-16T00:00:00"/>
    <s v="F"/>
    <x v="1"/>
    <n v="3"/>
    <x v="0"/>
    <x v="33"/>
    <x v="5"/>
    <x v="2"/>
    <x v="2"/>
  </r>
  <r>
    <s v="TX500270"/>
    <x v="6"/>
    <x v="2"/>
    <n v="90.9"/>
    <n v="272.70000000000005"/>
    <d v="2025-01-12T00:00:00"/>
    <d v="2025-01-13T00:00:00"/>
    <s v="F"/>
    <x v="2"/>
    <n v="2"/>
    <x v="0"/>
    <x v="3"/>
    <x v="3"/>
    <x v="2"/>
    <x v="2"/>
  </r>
  <r>
    <s v="TX500271"/>
    <x v="8"/>
    <x v="2"/>
    <n v="44.5"/>
    <n v="133.5"/>
    <d v="2025-01-12T00:00:00"/>
    <d v="2025-01-13T00:00:00"/>
    <s v="F"/>
    <x v="1"/>
    <n v="4"/>
    <x v="0"/>
    <x v="3"/>
    <x v="3"/>
    <x v="2"/>
    <x v="2"/>
  </r>
  <r>
    <s v="TX500272"/>
    <x v="9"/>
    <x v="13"/>
    <n v="32.299999999999997"/>
    <n v="193.79999999999998"/>
    <d v="2025-01-12T00:00:00"/>
    <d v="2025-01-16T00:00:00"/>
    <s v="F"/>
    <x v="0"/>
    <n v="4"/>
    <x v="0"/>
    <x v="3"/>
    <x v="5"/>
    <x v="2"/>
    <x v="2"/>
  </r>
  <r>
    <s v="TX500273"/>
    <x v="17"/>
    <x v="2"/>
    <n v="87.5"/>
    <n v="262.5"/>
    <d v="2025-01-12T00:00:00"/>
    <d v="2025-01-13T00:00:00"/>
    <s v="F"/>
    <x v="1"/>
    <n v="3"/>
    <x v="0"/>
    <x v="3"/>
    <x v="3"/>
    <x v="2"/>
    <x v="2"/>
  </r>
  <r>
    <s v="TX500274"/>
    <x v="16"/>
    <x v="9"/>
    <n v="48.7"/>
    <n v="243.5"/>
    <d v="2025-01-12T00:00:00"/>
    <d v="2025-01-13T00:00:00"/>
    <s v="M"/>
    <x v="2"/>
    <n v="4"/>
    <x v="0"/>
    <x v="3"/>
    <x v="3"/>
    <x v="2"/>
    <x v="1"/>
  </r>
  <r>
    <s v="TX500275"/>
    <x v="0"/>
    <x v="9"/>
    <n v="22.5"/>
    <n v="112.5"/>
    <d v="2025-01-12T00:00:00"/>
    <d v="2025-01-13T00:00:00"/>
    <s v="M"/>
    <x v="0"/>
    <n v="4"/>
    <x v="0"/>
    <x v="3"/>
    <x v="3"/>
    <x v="2"/>
    <x v="1"/>
  </r>
  <r>
    <s v="TX500276"/>
    <x v="1"/>
    <x v="8"/>
    <n v="65.900000000000006"/>
    <n v="527.20000000000005"/>
    <d v="2025-01-12T00:00:00"/>
    <d v="2025-01-15T00:00:00"/>
    <s v="F"/>
    <x v="1"/>
    <n v="5"/>
    <x v="0"/>
    <x v="3"/>
    <x v="2"/>
    <x v="2"/>
    <x v="2"/>
  </r>
  <r>
    <s v="TX500277"/>
    <x v="6"/>
    <x v="9"/>
    <n v="41.9"/>
    <n v="209.5"/>
    <d v="2025-01-12T00:00:00"/>
    <d v="2025-01-19T00:00:00"/>
    <s v=""/>
    <x v="0"/>
    <n v="4"/>
    <x v="0"/>
    <x v="3"/>
    <x v="6"/>
    <x v="2"/>
    <x v="0"/>
  </r>
  <r>
    <s v="TX500278"/>
    <x v="1"/>
    <x v="9"/>
    <n v="67.5"/>
    <n v="337.5"/>
    <d v="2025-01-12T00:00:00"/>
    <d v="2025-01-13T00:00:00"/>
    <s v="F"/>
    <x v="0"/>
    <n v="5"/>
    <x v="0"/>
    <x v="3"/>
    <x v="3"/>
    <x v="2"/>
    <x v="2"/>
  </r>
  <r>
    <s v="TX500279"/>
    <x v="9"/>
    <x v="0"/>
    <n v="60.4"/>
    <n v="60.4"/>
    <d v="2025-01-13T00:00:00"/>
    <d v="2025-01-15T00:00:00"/>
    <s v="F"/>
    <x v="1"/>
    <n v="3"/>
    <x v="0"/>
    <x v="3"/>
    <x v="1"/>
    <x v="2"/>
    <x v="2"/>
  </r>
  <r>
    <s v="TX500280"/>
    <x v="1"/>
    <x v="3"/>
    <n v="30.4"/>
    <n v="212.79999999999998"/>
    <d v="2025-01-13T00:00:00"/>
    <d v="2025-01-16T00:00:00"/>
    <s v="F"/>
    <x v="4"/>
    <n v="4"/>
    <x v="0"/>
    <x v="3"/>
    <x v="2"/>
    <x v="2"/>
    <x v="2"/>
  </r>
  <r>
    <s v="TX500281"/>
    <x v="14"/>
    <x v="1"/>
    <n v="24.5"/>
    <n v="49"/>
    <d v="2025-01-13T00:00:00"/>
    <d v="2025-01-14T00:00:00"/>
    <s v="M"/>
    <x v="3"/>
    <n v="5"/>
    <x v="0"/>
    <x v="3"/>
    <x v="3"/>
    <x v="2"/>
    <x v="1"/>
  </r>
  <r>
    <s v="TX500282"/>
    <x v="2"/>
    <x v="2"/>
    <n v="105.9"/>
    <n v="317.70000000000005"/>
    <d v="2025-01-13T00:00:00"/>
    <d v="2025-01-18T00:00:00"/>
    <s v="M"/>
    <x v="0"/>
    <n v="4"/>
    <x v="0"/>
    <x v="37"/>
    <x v="0"/>
    <x v="2"/>
    <x v="1"/>
  </r>
  <r>
    <s v="TX500283"/>
    <x v="10"/>
    <x v="25"/>
    <n v="25.9"/>
    <n v="621.59999999999991"/>
    <d v="2025-01-13T00:00:00"/>
    <d v="2025-01-14T00:00:00"/>
    <s v="F"/>
    <x v="4"/>
    <n v="4"/>
    <x v="0"/>
    <x v="23"/>
    <x v="3"/>
    <x v="2"/>
    <x v="2"/>
  </r>
  <r>
    <s v="TX500284"/>
    <x v="6"/>
    <x v="2"/>
    <n v="66.8"/>
    <n v="200.39999999999998"/>
    <d v="2025-01-13T00:00:00"/>
    <d v="2025-01-13T00:00:00"/>
    <s v="M"/>
    <x v="0"/>
    <n v="4"/>
    <x v="0"/>
    <x v="23"/>
    <x v="7"/>
    <x v="2"/>
    <x v="1"/>
  </r>
  <r>
    <s v="TX500285"/>
    <x v="6"/>
    <x v="2"/>
    <n v="112.3"/>
    <n v="336.9"/>
    <d v="2025-01-13T00:00:00"/>
    <d v="2025-01-14T00:00:00"/>
    <s v="M"/>
    <x v="2"/>
    <n v="2"/>
    <x v="0"/>
    <x v="6"/>
    <x v="3"/>
    <x v="2"/>
    <x v="1"/>
  </r>
  <r>
    <s v="TX500286"/>
    <x v="1"/>
    <x v="13"/>
    <n v="94.1"/>
    <n v="564.59999999999991"/>
    <d v="2025-01-13T00:00:00"/>
    <d v="2025-01-14T00:00:00"/>
    <s v="F"/>
    <x v="0"/>
    <n v="2"/>
    <x v="0"/>
    <x v="6"/>
    <x v="3"/>
    <x v="2"/>
    <x v="2"/>
  </r>
  <r>
    <s v="TX500287"/>
    <x v="5"/>
    <x v="0"/>
    <n v="40.700000000000003"/>
    <n v="40.700000000000003"/>
    <d v="2025-01-13T00:00:00"/>
    <d v="2025-01-16T00:00:00"/>
    <s v="F"/>
    <x v="2"/>
    <n v="4"/>
    <x v="0"/>
    <x v="6"/>
    <x v="2"/>
    <x v="2"/>
    <x v="2"/>
  </r>
  <r>
    <s v="TX500288"/>
    <x v="3"/>
    <x v="1"/>
    <n v="71.400000000000006"/>
    <n v="142.80000000000001"/>
    <d v="2025-01-13T00:00:00"/>
    <d v="2025-01-14T00:00:00"/>
    <s v="M"/>
    <x v="0"/>
    <n v="4"/>
    <x v="0"/>
    <x v="7"/>
    <x v="3"/>
    <x v="2"/>
    <x v="1"/>
  </r>
  <r>
    <s v="TX500289"/>
    <x v="0"/>
    <x v="16"/>
    <n v="15.6"/>
    <n v="280.8"/>
    <d v="2025-01-13T00:00:00"/>
    <d v="2025-01-14T00:00:00"/>
    <s v="M"/>
    <x v="1"/>
    <n v="1"/>
    <x v="0"/>
    <x v="8"/>
    <x v="3"/>
    <x v="2"/>
    <x v="1"/>
  </r>
  <r>
    <s v="TX500290"/>
    <x v="10"/>
    <x v="12"/>
    <n v="37.799999999999997"/>
    <n v="151.19999999999999"/>
    <d v="2025-01-13T00:00:00"/>
    <d v="2025-01-14T00:00:00"/>
    <s v="M"/>
    <x v="2"/>
    <n v="5"/>
    <x v="0"/>
    <x v="8"/>
    <x v="3"/>
    <x v="2"/>
    <x v="1"/>
  </r>
  <r>
    <s v="TX500291"/>
    <x v="4"/>
    <x v="2"/>
    <n v="28.1"/>
    <n v="84.300000000000011"/>
    <d v="2025-01-13T00:00:00"/>
    <d v="2025-01-17T00:00:00"/>
    <s v="M"/>
    <x v="0"/>
    <n v="4"/>
    <x v="0"/>
    <x v="8"/>
    <x v="5"/>
    <x v="2"/>
    <x v="1"/>
  </r>
  <r>
    <s v="TX500292"/>
    <x v="7"/>
    <x v="13"/>
    <n v="51.4"/>
    <n v="308.39999999999998"/>
    <d v="2025-01-13T00:00:00"/>
    <d v="2025-01-17T00:00:00"/>
    <s v="M"/>
    <x v="0"/>
    <n v="4"/>
    <x v="0"/>
    <x v="8"/>
    <x v="5"/>
    <x v="2"/>
    <x v="1"/>
  </r>
  <r>
    <s v="TX500293"/>
    <x v="7"/>
    <x v="1"/>
    <n v="97.7"/>
    <n v="195.4"/>
    <d v="2025-01-13T00:00:00"/>
    <d v="2025-01-15T00:00:00"/>
    <s v="F"/>
    <x v="4"/>
    <n v="5"/>
    <x v="0"/>
    <x v="17"/>
    <x v="1"/>
    <x v="2"/>
    <x v="2"/>
  </r>
  <r>
    <s v="TX500294"/>
    <x v="1"/>
    <x v="12"/>
    <n v="63.8"/>
    <n v="255.2"/>
    <d v="2025-01-13T00:00:00"/>
    <d v="2025-01-14T00:00:00"/>
    <s v="M"/>
    <x v="2"/>
    <n v="4"/>
    <x v="0"/>
    <x v="38"/>
    <x v="3"/>
    <x v="2"/>
    <x v="1"/>
  </r>
  <r>
    <s v="TX500295"/>
    <x v="13"/>
    <x v="1"/>
    <n v="20.100000000000001"/>
    <n v="40.200000000000003"/>
    <d v="2025-01-13T00:00:00"/>
    <d v="2025-01-15T00:00:00"/>
    <s v="M"/>
    <x v="0"/>
    <n v="5"/>
    <x v="0"/>
    <x v="20"/>
    <x v="1"/>
    <x v="2"/>
    <x v="1"/>
  </r>
  <r>
    <s v="TX500296"/>
    <x v="11"/>
    <x v="2"/>
    <n v="50.4"/>
    <n v="151.19999999999999"/>
    <d v="2025-01-13T00:00:00"/>
    <d v="2025-01-16T00:00:00"/>
    <s v="F"/>
    <x v="3"/>
    <n v="4"/>
    <x v="0"/>
    <x v="13"/>
    <x v="2"/>
    <x v="2"/>
    <x v="2"/>
  </r>
  <r>
    <s v="TX500297"/>
    <x v="0"/>
    <x v="0"/>
    <n v="16.2"/>
    <n v="16.2"/>
    <d v="2025-01-13T00:00:00"/>
    <d v="2025-01-26T00:00:00"/>
    <s v="F"/>
    <x v="1"/>
    <n v="4"/>
    <x v="0"/>
    <x v="1"/>
    <x v="10"/>
    <x v="2"/>
    <x v="2"/>
  </r>
  <r>
    <s v="TX500298"/>
    <x v="6"/>
    <x v="3"/>
    <n v="80.900000000000006"/>
    <n v="566.30000000000007"/>
    <d v="2025-01-13T00:00:00"/>
    <d v="2025-01-15T00:00:00"/>
    <s v="M"/>
    <x v="4"/>
    <n v="2"/>
    <x v="0"/>
    <x v="2"/>
    <x v="1"/>
    <x v="2"/>
    <x v="1"/>
  </r>
  <r>
    <s v="TX500299"/>
    <x v="9"/>
    <x v="13"/>
    <n v="95.2"/>
    <n v="571.20000000000005"/>
    <d v="2025-01-13T00:00:00"/>
    <d v="2025-01-15T00:00:00"/>
    <s v="F"/>
    <x v="0"/>
    <n v="5"/>
    <x v="0"/>
    <x v="2"/>
    <x v="1"/>
    <x v="2"/>
    <x v="2"/>
  </r>
  <r>
    <s v="TX500300"/>
    <x v="5"/>
    <x v="8"/>
    <n v="70.400000000000006"/>
    <n v="563.20000000000005"/>
    <d v="2025-01-13T00:00:00"/>
    <d v="2025-01-14T00:00:00"/>
    <s v="M"/>
    <x v="1"/>
    <n v="3"/>
    <x v="0"/>
    <x v="3"/>
    <x v="3"/>
    <x v="2"/>
    <x v="1"/>
  </r>
  <r>
    <s v="TX500301"/>
    <x v="0"/>
    <x v="9"/>
    <n v="10.7"/>
    <n v="53.5"/>
    <d v="2025-01-13T00:00:00"/>
    <d v="2025-01-17T00:00:00"/>
    <s v="F"/>
    <x v="2"/>
    <n v="4"/>
    <x v="0"/>
    <x v="3"/>
    <x v="5"/>
    <x v="2"/>
    <x v="2"/>
  </r>
  <r>
    <s v="TX500302"/>
    <x v="8"/>
    <x v="9"/>
    <n v="19.600000000000001"/>
    <n v="98"/>
    <d v="2025-01-13T00:00:00"/>
    <d v="2025-01-15T00:00:00"/>
    <s v="F"/>
    <x v="0"/>
    <n v="1"/>
    <x v="0"/>
    <x v="3"/>
    <x v="1"/>
    <x v="2"/>
    <x v="2"/>
  </r>
  <r>
    <s v="TX500303"/>
    <x v="8"/>
    <x v="5"/>
    <n v="34.700000000000003"/>
    <n v="381.70000000000005"/>
    <d v="2025-01-13T00:00:00"/>
    <d v="2025-01-15T00:00:00"/>
    <s v="F"/>
    <x v="0"/>
    <n v="5"/>
    <x v="0"/>
    <x v="3"/>
    <x v="1"/>
    <x v="2"/>
    <x v="2"/>
  </r>
  <r>
    <s v="TX500304"/>
    <x v="10"/>
    <x v="11"/>
    <n v="34.1"/>
    <n v="306.90000000000003"/>
    <d v="2025-01-13T00:00:00"/>
    <d v="2025-01-14T00:00:00"/>
    <s v="F"/>
    <x v="4"/>
    <n v="3"/>
    <x v="0"/>
    <x v="3"/>
    <x v="3"/>
    <x v="2"/>
    <x v="2"/>
  </r>
  <r>
    <s v="TX500305"/>
    <x v="0"/>
    <x v="26"/>
    <n v="29.3"/>
    <n v="1435.7"/>
    <d v="2025-01-13T00:00:00"/>
    <d v="2025-01-13T00:00:00"/>
    <s v="M"/>
    <x v="0"/>
    <n v="3"/>
    <x v="0"/>
    <x v="3"/>
    <x v="7"/>
    <x v="2"/>
    <x v="1"/>
  </r>
  <r>
    <s v="TX500306"/>
    <x v="1"/>
    <x v="0"/>
    <n v="55.2"/>
    <n v="55.2"/>
    <d v="2025-01-13T00:00:00"/>
    <d v="2025-01-14T00:00:00"/>
    <s v="F"/>
    <x v="0"/>
    <n v="3"/>
    <x v="0"/>
    <x v="3"/>
    <x v="3"/>
    <x v="2"/>
    <x v="2"/>
  </r>
  <r>
    <s v="TX500307"/>
    <x v="18"/>
    <x v="2"/>
    <n v="26"/>
    <n v="78"/>
    <d v="2025-01-13T00:00:00"/>
    <d v="2025-01-16T00:00:00"/>
    <s v="F"/>
    <x v="0"/>
    <n v="5"/>
    <x v="0"/>
    <x v="3"/>
    <x v="2"/>
    <x v="2"/>
    <x v="2"/>
  </r>
  <r>
    <s v="TX500308"/>
    <x v="14"/>
    <x v="1"/>
    <n v="14.2"/>
    <n v="28.4"/>
    <d v="2025-01-13T00:00:00"/>
    <d v="2025-01-18T00:00:00"/>
    <s v="F"/>
    <x v="3"/>
    <n v="4"/>
    <x v="0"/>
    <x v="39"/>
    <x v="0"/>
    <x v="2"/>
    <x v="2"/>
  </r>
  <r>
    <s v="TX500309"/>
    <x v="8"/>
    <x v="11"/>
    <n v="22.7"/>
    <n v="204.29999999999998"/>
    <d v="2025-01-14T00:00:00"/>
    <d v="2025-01-15T00:00:00"/>
    <s v="M"/>
    <x v="1"/>
    <n v="4"/>
    <x v="0"/>
    <x v="6"/>
    <x v="3"/>
    <x v="2"/>
    <x v="1"/>
  </r>
  <r>
    <s v="TX500310"/>
    <x v="0"/>
    <x v="20"/>
    <n v="19.8"/>
    <n v="297"/>
    <d v="2025-01-14T00:00:00"/>
    <d v="2025-01-14T00:00:00"/>
    <s v="F"/>
    <x v="0"/>
    <n v="5"/>
    <x v="0"/>
    <x v="6"/>
    <x v="7"/>
    <x v="2"/>
    <x v="2"/>
  </r>
  <r>
    <s v="TX500311"/>
    <x v="0"/>
    <x v="2"/>
    <n v="31.7"/>
    <n v="95.1"/>
    <d v="2025-01-14T00:00:00"/>
    <d v="2025-01-15T00:00:00"/>
    <s v="M"/>
    <x v="2"/>
    <n v="4"/>
    <x v="0"/>
    <x v="6"/>
    <x v="3"/>
    <x v="2"/>
    <x v="1"/>
  </r>
  <r>
    <s v="TX500312"/>
    <x v="8"/>
    <x v="12"/>
    <n v="30.4"/>
    <n v="121.6"/>
    <d v="2025-01-14T00:00:00"/>
    <d v="2025-01-18T00:00:00"/>
    <s v="M"/>
    <x v="0"/>
    <n v="4"/>
    <x v="0"/>
    <x v="6"/>
    <x v="5"/>
    <x v="2"/>
    <x v="1"/>
  </r>
  <r>
    <s v="TX500313"/>
    <x v="0"/>
    <x v="12"/>
    <n v="25.6"/>
    <n v="102.4"/>
    <d v="2025-01-14T00:00:00"/>
    <d v="2025-01-15T00:00:00"/>
    <s v="M"/>
    <x v="3"/>
    <n v="4"/>
    <x v="0"/>
    <x v="8"/>
    <x v="3"/>
    <x v="2"/>
    <x v="1"/>
  </r>
  <r>
    <s v="TX500314"/>
    <x v="5"/>
    <x v="1"/>
    <n v="34.9"/>
    <n v="69.8"/>
    <d v="2025-01-14T00:00:00"/>
    <d v="2025-01-15T00:00:00"/>
    <s v="F"/>
    <x v="2"/>
    <n v="4"/>
    <x v="0"/>
    <x v="9"/>
    <x v="3"/>
    <x v="2"/>
    <x v="2"/>
  </r>
  <r>
    <s v="TX500315"/>
    <x v="7"/>
    <x v="13"/>
    <n v="42.7"/>
    <n v="256.20000000000005"/>
    <d v="2025-01-14T00:00:00"/>
    <d v="2025-01-17T00:00:00"/>
    <s v="M"/>
    <x v="2"/>
    <n v="3"/>
    <x v="0"/>
    <x v="11"/>
    <x v="2"/>
    <x v="2"/>
    <x v="1"/>
  </r>
  <r>
    <s v="TX500316"/>
    <x v="8"/>
    <x v="0"/>
    <n v="23.9"/>
    <n v="23.9"/>
    <d v="2025-01-14T00:00:00"/>
    <d v="2025-01-16T00:00:00"/>
    <s v="F"/>
    <x v="3"/>
    <n v="4"/>
    <x v="0"/>
    <x v="11"/>
    <x v="1"/>
    <x v="2"/>
    <x v="2"/>
  </r>
  <r>
    <s v="TX500317"/>
    <x v="6"/>
    <x v="0"/>
    <n v="124.3"/>
    <n v="124.3"/>
    <d v="2025-01-14T00:00:00"/>
    <d v="2025-01-15T00:00:00"/>
    <s v=""/>
    <x v="2"/>
    <n v="3"/>
    <x v="0"/>
    <x v="21"/>
    <x v="3"/>
    <x v="2"/>
    <x v="0"/>
  </r>
  <r>
    <s v="TX500318"/>
    <x v="8"/>
    <x v="13"/>
    <n v="35.9"/>
    <n v="215.39999999999998"/>
    <d v="2025-01-14T00:00:00"/>
    <d v="2025-01-15T00:00:00"/>
    <s v="F"/>
    <x v="0"/>
    <n v="3"/>
    <x v="0"/>
    <x v="1"/>
    <x v="3"/>
    <x v="2"/>
    <x v="2"/>
  </r>
  <r>
    <s v="TX500319"/>
    <x v="2"/>
    <x v="1"/>
    <n v="69.099999999999994"/>
    <n v="138.19999999999999"/>
    <d v="2025-01-14T00:00:00"/>
    <d v="2025-01-17T00:00:00"/>
    <s v="F"/>
    <x v="0"/>
    <n v="5"/>
    <x v="0"/>
    <x v="22"/>
    <x v="2"/>
    <x v="2"/>
    <x v="2"/>
  </r>
  <r>
    <s v="TX500320"/>
    <x v="7"/>
    <x v="0"/>
    <n v="58.4"/>
    <n v="58.4"/>
    <d v="2025-01-14T00:00:00"/>
    <d v="2025-01-18T00:00:00"/>
    <s v="M"/>
    <x v="0"/>
    <n v="4"/>
    <x v="0"/>
    <x v="22"/>
    <x v="5"/>
    <x v="2"/>
    <x v="1"/>
  </r>
  <r>
    <s v="TX500321"/>
    <x v="5"/>
    <x v="0"/>
    <n v="65.2"/>
    <n v="65.2"/>
    <d v="2025-01-14T00:00:00"/>
    <d v="2025-01-16T00:00:00"/>
    <s v="O"/>
    <x v="4"/>
    <n v="2"/>
    <x v="0"/>
    <x v="3"/>
    <x v="1"/>
    <x v="2"/>
    <x v="3"/>
  </r>
  <r>
    <s v="TX500322"/>
    <x v="8"/>
    <x v="14"/>
    <n v="32.700000000000003"/>
    <n v="555.90000000000009"/>
    <d v="2025-01-14T00:00:00"/>
    <d v="2025-01-21T00:00:00"/>
    <s v=""/>
    <x v="4"/>
    <n v="4"/>
    <x v="0"/>
    <x v="3"/>
    <x v="6"/>
    <x v="2"/>
    <x v="0"/>
  </r>
  <r>
    <s v="TX500323"/>
    <x v="10"/>
    <x v="3"/>
    <n v="24.4"/>
    <n v="170.79999999999998"/>
    <d v="2025-01-14T00:00:00"/>
    <d v="2025-01-15T00:00:00"/>
    <s v="F"/>
    <x v="0"/>
    <n v="4"/>
    <x v="0"/>
    <x v="3"/>
    <x v="3"/>
    <x v="2"/>
    <x v="2"/>
  </r>
  <r>
    <s v="TX500324"/>
    <x v="14"/>
    <x v="1"/>
    <n v="50.4"/>
    <n v="100.8"/>
    <d v="2025-01-14T00:00:00"/>
    <d v="2025-01-20T00:00:00"/>
    <s v="M"/>
    <x v="0"/>
    <n v="3"/>
    <x v="0"/>
    <x v="3"/>
    <x v="4"/>
    <x v="2"/>
    <x v="1"/>
  </r>
  <r>
    <s v="TX500325"/>
    <x v="1"/>
    <x v="1"/>
    <n v="100"/>
    <n v="200"/>
    <d v="2025-01-14T00:00:00"/>
    <d v="2025-01-15T00:00:00"/>
    <s v="F"/>
    <x v="0"/>
    <n v="4"/>
    <x v="0"/>
    <x v="3"/>
    <x v="3"/>
    <x v="2"/>
    <x v="2"/>
  </r>
  <r>
    <s v="TX500326"/>
    <x v="10"/>
    <x v="2"/>
    <n v="43"/>
    <n v="129"/>
    <d v="2025-01-15T00:00:00"/>
    <d v="2025-01-15T00:00:00"/>
    <s v="F"/>
    <x v="2"/>
    <n v="3"/>
    <x v="0"/>
    <x v="3"/>
    <x v="7"/>
    <x v="2"/>
    <x v="2"/>
  </r>
  <r>
    <s v="TX500327"/>
    <x v="1"/>
    <x v="9"/>
    <n v="64.400000000000006"/>
    <n v="322"/>
    <d v="2025-01-15T00:00:00"/>
    <d v="2025-01-17T00:00:00"/>
    <s v="M"/>
    <x v="2"/>
    <n v="3"/>
    <x v="0"/>
    <x v="3"/>
    <x v="1"/>
    <x v="2"/>
    <x v="1"/>
  </r>
  <r>
    <s v="TX500328"/>
    <x v="18"/>
    <x v="1"/>
    <n v="57.4"/>
    <n v="114.8"/>
    <d v="2025-01-15T00:00:00"/>
    <d v="2025-01-16T00:00:00"/>
    <s v="M"/>
    <x v="2"/>
    <n v="3"/>
    <x v="0"/>
    <x v="3"/>
    <x v="3"/>
    <x v="2"/>
    <x v="1"/>
  </r>
  <r>
    <s v="TX500329"/>
    <x v="2"/>
    <x v="2"/>
    <n v="55.1"/>
    <n v="165.3"/>
    <d v="2025-01-15T00:00:00"/>
    <d v="2025-01-18T00:00:00"/>
    <s v="F"/>
    <x v="1"/>
    <n v="4"/>
    <x v="0"/>
    <x v="3"/>
    <x v="2"/>
    <x v="2"/>
    <x v="2"/>
  </r>
  <r>
    <s v="TX500330"/>
    <x v="7"/>
    <x v="12"/>
    <n v="45.4"/>
    <n v="181.6"/>
    <d v="2025-01-15T00:00:00"/>
    <d v="2025-01-16T00:00:00"/>
    <s v="F"/>
    <x v="1"/>
    <n v="4"/>
    <x v="0"/>
    <x v="3"/>
    <x v="3"/>
    <x v="2"/>
    <x v="2"/>
  </r>
  <r>
    <s v="TX500331"/>
    <x v="3"/>
    <x v="2"/>
    <n v="93.3"/>
    <n v="279.89999999999998"/>
    <d v="2025-01-15T00:00:00"/>
    <d v="2025-01-16T00:00:00"/>
    <s v="F"/>
    <x v="0"/>
    <n v="4"/>
    <x v="0"/>
    <x v="40"/>
    <x v="3"/>
    <x v="2"/>
    <x v="2"/>
  </r>
  <r>
    <s v="TX500332"/>
    <x v="2"/>
    <x v="10"/>
    <n v="158.19999999999999"/>
    <n v="3005.7999999999997"/>
    <d v="2025-01-15T00:00:00"/>
    <d v="2025-01-16T00:00:00"/>
    <s v="F"/>
    <x v="1"/>
    <n v="5"/>
    <x v="0"/>
    <x v="16"/>
    <x v="3"/>
    <x v="2"/>
    <x v="2"/>
  </r>
  <r>
    <s v="TX500333"/>
    <x v="2"/>
    <x v="1"/>
    <n v="74.900000000000006"/>
    <n v="149.80000000000001"/>
    <d v="2025-01-15T00:00:00"/>
    <d v="2025-01-17T00:00:00"/>
    <s v="M"/>
    <x v="3"/>
    <n v="4"/>
    <x v="0"/>
    <x v="6"/>
    <x v="1"/>
    <x v="2"/>
    <x v="1"/>
  </r>
  <r>
    <s v="TX500334"/>
    <x v="8"/>
    <x v="3"/>
    <n v="26"/>
    <n v="182"/>
    <d v="2025-01-15T00:00:00"/>
    <d v="2025-01-18T00:00:00"/>
    <s v="F"/>
    <x v="1"/>
    <n v="4"/>
    <x v="0"/>
    <x v="8"/>
    <x v="2"/>
    <x v="2"/>
    <x v="2"/>
  </r>
  <r>
    <s v="TX500335"/>
    <x v="9"/>
    <x v="13"/>
    <n v="37.5"/>
    <n v="225"/>
    <d v="2025-01-15T00:00:00"/>
    <d v="2025-01-16T00:00:00"/>
    <s v="F"/>
    <x v="0"/>
    <n v="3"/>
    <x v="0"/>
    <x v="8"/>
    <x v="3"/>
    <x v="2"/>
    <x v="2"/>
  </r>
  <r>
    <s v="TX500336"/>
    <x v="6"/>
    <x v="1"/>
    <n v="75.8"/>
    <n v="151.6"/>
    <d v="2025-01-15T00:00:00"/>
    <d v="2025-01-21T00:00:00"/>
    <s v="M"/>
    <x v="0"/>
    <n v="4"/>
    <x v="0"/>
    <x v="8"/>
    <x v="4"/>
    <x v="2"/>
    <x v="1"/>
  </r>
  <r>
    <s v="TX500337"/>
    <x v="7"/>
    <x v="0"/>
    <n v="48.5"/>
    <n v="48.5"/>
    <d v="2025-01-15T00:00:00"/>
    <d v="2025-01-27T00:00:00"/>
    <s v=""/>
    <x v="4"/>
    <n v="5"/>
    <x v="0"/>
    <x v="8"/>
    <x v="13"/>
    <x v="2"/>
    <x v="0"/>
  </r>
  <r>
    <s v="TX500338"/>
    <x v="6"/>
    <x v="2"/>
    <n v="98.9"/>
    <n v="296.70000000000005"/>
    <d v="2025-01-15T00:00:00"/>
    <d v="2025-01-17T00:00:00"/>
    <s v="F"/>
    <x v="4"/>
    <n v="3"/>
    <x v="0"/>
    <x v="8"/>
    <x v="1"/>
    <x v="2"/>
    <x v="2"/>
  </r>
  <r>
    <s v="TX500339"/>
    <x v="1"/>
    <x v="4"/>
    <n v="50.9"/>
    <n v="610.79999999999995"/>
    <d v="2025-01-15T00:00:00"/>
    <d v="2025-01-15T00:00:00"/>
    <s v="M"/>
    <x v="4"/>
    <n v="4"/>
    <x v="0"/>
    <x v="8"/>
    <x v="7"/>
    <x v="2"/>
    <x v="1"/>
  </r>
  <r>
    <s v="TX500340"/>
    <x v="12"/>
    <x v="13"/>
    <n v="84.7"/>
    <n v="508.20000000000005"/>
    <d v="2025-01-15T00:00:00"/>
    <d v="2025-01-15T00:00:00"/>
    <s v="F"/>
    <x v="2"/>
    <n v="4"/>
    <x v="0"/>
    <x v="8"/>
    <x v="7"/>
    <x v="2"/>
    <x v="2"/>
  </r>
  <r>
    <s v="TX500341"/>
    <x v="8"/>
    <x v="0"/>
    <n v="20.7"/>
    <n v="20.7"/>
    <d v="2025-01-15T00:00:00"/>
    <d v="2025-01-17T00:00:00"/>
    <s v="F"/>
    <x v="3"/>
    <n v="5"/>
    <x v="0"/>
    <x v="8"/>
    <x v="1"/>
    <x v="2"/>
    <x v="2"/>
  </r>
  <r>
    <s v="TX500342"/>
    <x v="12"/>
    <x v="11"/>
    <n v="57.8"/>
    <n v="520.19999999999993"/>
    <d v="2025-01-15T00:00:00"/>
    <d v="2025-01-26T00:00:00"/>
    <s v="M"/>
    <x v="0"/>
    <n v="2"/>
    <x v="0"/>
    <x v="17"/>
    <x v="11"/>
    <x v="2"/>
    <x v="1"/>
  </r>
  <r>
    <s v="TX500343"/>
    <x v="2"/>
    <x v="1"/>
    <n v="106.9"/>
    <n v="213.8"/>
    <d v="2025-01-15T00:00:00"/>
    <d v="2025-01-17T00:00:00"/>
    <s v="F"/>
    <x v="0"/>
    <n v="5"/>
    <x v="0"/>
    <x v="41"/>
    <x v="1"/>
    <x v="2"/>
    <x v="2"/>
  </r>
  <r>
    <s v="TX500344"/>
    <x v="3"/>
    <x v="9"/>
    <n v="45.2"/>
    <n v="226"/>
    <d v="2025-01-15T00:00:00"/>
    <d v="2025-01-19T00:00:00"/>
    <s v="F"/>
    <x v="1"/>
    <n v="4"/>
    <x v="0"/>
    <x v="21"/>
    <x v="5"/>
    <x v="2"/>
    <x v="2"/>
  </r>
  <r>
    <s v="TX500345"/>
    <x v="8"/>
    <x v="15"/>
    <n v="34.6"/>
    <n v="449.8"/>
    <d v="2025-01-15T00:00:00"/>
    <d v="2025-01-15T00:00:00"/>
    <s v="F"/>
    <x v="1"/>
    <n v="3"/>
    <x v="0"/>
    <x v="21"/>
    <x v="7"/>
    <x v="2"/>
    <x v="2"/>
  </r>
  <r>
    <s v="TX500346"/>
    <x v="15"/>
    <x v="0"/>
    <n v="43.8"/>
    <n v="43.8"/>
    <d v="2025-01-15T00:00:00"/>
    <d v="2025-01-17T00:00:00"/>
    <s v=""/>
    <x v="0"/>
    <n v="5"/>
    <x v="0"/>
    <x v="21"/>
    <x v="1"/>
    <x v="2"/>
    <x v="0"/>
  </r>
  <r>
    <s v="TX500347"/>
    <x v="15"/>
    <x v="0"/>
    <n v="20.399999999999999"/>
    <n v="20.399999999999999"/>
    <d v="2025-01-15T00:00:00"/>
    <d v="2025-01-17T00:00:00"/>
    <s v="M"/>
    <x v="4"/>
    <n v="3"/>
    <x v="0"/>
    <x v="21"/>
    <x v="1"/>
    <x v="2"/>
    <x v="1"/>
  </r>
  <r>
    <s v="TX500348"/>
    <x v="1"/>
    <x v="0"/>
    <n v="36.700000000000003"/>
    <n v="36.700000000000003"/>
    <d v="2025-01-15T00:00:00"/>
    <d v="2025-01-16T00:00:00"/>
    <s v="M"/>
    <x v="0"/>
    <n v="3"/>
    <x v="0"/>
    <x v="1"/>
    <x v="3"/>
    <x v="2"/>
    <x v="1"/>
  </r>
  <r>
    <s v="TX500349"/>
    <x v="8"/>
    <x v="2"/>
    <n v="27.2"/>
    <n v="81.599999999999994"/>
    <d v="2025-01-15T00:00:00"/>
    <d v="2025-01-19T00:00:00"/>
    <s v="M"/>
    <x v="0"/>
    <n v="5"/>
    <x v="0"/>
    <x v="1"/>
    <x v="5"/>
    <x v="2"/>
    <x v="1"/>
  </r>
  <r>
    <s v="TX500350"/>
    <x v="6"/>
    <x v="0"/>
    <n v="58.2"/>
    <n v="58.2"/>
    <d v="2025-01-15T00:00:00"/>
    <d v="2025-01-16T00:00:00"/>
    <s v="F"/>
    <x v="0"/>
    <n v="5"/>
    <x v="0"/>
    <x v="42"/>
    <x v="3"/>
    <x v="2"/>
    <x v="2"/>
  </r>
  <r>
    <s v="TX500351"/>
    <x v="8"/>
    <x v="2"/>
    <n v="25.6"/>
    <n v="76.800000000000011"/>
    <d v="2025-01-15T00:00:00"/>
    <d v="2025-01-16T00:00:00"/>
    <s v="M"/>
    <x v="4"/>
    <n v="2"/>
    <x v="0"/>
    <x v="2"/>
    <x v="3"/>
    <x v="2"/>
    <x v="1"/>
  </r>
  <r>
    <s v="TX500352"/>
    <x v="10"/>
    <x v="0"/>
    <n v="21.2"/>
    <n v="21.2"/>
    <d v="2025-01-15T00:00:00"/>
    <d v="2025-01-15T00:00:00"/>
    <s v="F"/>
    <x v="1"/>
    <n v="5"/>
    <x v="0"/>
    <x v="3"/>
    <x v="7"/>
    <x v="2"/>
    <x v="2"/>
  </r>
  <r>
    <s v="TX500353"/>
    <x v="6"/>
    <x v="1"/>
    <n v="48.2"/>
    <n v="96.4"/>
    <d v="2025-01-15T00:00:00"/>
    <d v="2025-01-23T00:00:00"/>
    <s v="F"/>
    <x v="0"/>
    <n v="5"/>
    <x v="0"/>
    <x v="3"/>
    <x v="9"/>
    <x v="2"/>
    <x v="2"/>
  </r>
  <r>
    <s v="TX500354"/>
    <x v="1"/>
    <x v="12"/>
    <n v="83.4"/>
    <n v="333.6"/>
    <d v="2025-01-16T00:00:00"/>
    <d v="2025-01-17T00:00:00"/>
    <s v="M"/>
    <x v="0"/>
    <n v="4"/>
    <x v="0"/>
    <x v="3"/>
    <x v="3"/>
    <x v="2"/>
    <x v="1"/>
  </r>
  <r>
    <s v="TX500355"/>
    <x v="9"/>
    <x v="2"/>
    <n v="45.3"/>
    <n v="135.89999999999998"/>
    <d v="2025-01-16T00:00:00"/>
    <d v="2025-01-22T00:00:00"/>
    <s v="M"/>
    <x v="2"/>
    <n v="3"/>
    <x v="0"/>
    <x v="3"/>
    <x v="4"/>
    <x v="2"/>
    <x v="1"/>
  </r>
  <r>
    <s v="TX500356"/>
    <x v="17"/>
    <x v="0"/>
    <n v="42"/>
    <n v="42"/>
    <d v="2025-01-16T00:00:00"/>
    <d v="2025-01-17T00:00:00"/>
    <s v=""/>
    <x v="0"/>
    <n v="4"/>
    <x v="0"/>
    <x v="3"/>
    <x v="3"/>
    <x v="2"/>
    <x v="0"/>
  </r>
  <r>
    <s v="TX500357"/>
    <x v="0"/>
    <x v="11"/>
    <n v="21.8"/>
    <n v="196.20000000000002"/>
    <d v="2025-01-16T00:00:00"/>
    <d v="2025-01-18T00:00:00"/>
    <s v="F"/>
    <x v="1"/>
    <n v="4"/>
    <x v="0"/>
    <x v="3"/>
    <x v="1"/>
    <x v="2"/>
    <x v="2"/>
  </r>
  <r>
    <s v="TX500358"/>
    <x v="8"/>
    <x v="16"/>
    <n v="21.4"/>
    <n v="385.2"/>
    <d v="2025-01-16T00:00:00"/>
    <d v="2025-01-19T00:00:00"/>
    <s v="F"/>
    <x v="1"/>
    <n v="5"/>
    <x v="0"/>
    <x v="3"/>
    <x v="2"/>
    <x v="2"/>
    <x v="2"/>
  </r>
  <r>
    <s v="TX500359"/>
    <x v="10"/>
    <x v="2"/>
    <n v="45"/>
    <n v="135"/>
    <d v="2025-01-16T00:00:00"/>
    <d v="2025-01-16T00:00:00"/>
    <s v="F"/>
    <x v="1"/>
    <n v="5"/>
    <x v="0"/>
    <x v="3"/>
    <x v="7"/>
    <x v="2"/>
    <x v="2"/>
  </r>
  <r>
    <s v="TX500360"/>
    <x v="14"/>
    <x v="0"/>
    <n v="39.6"/>
    <n v="39.6"/>
    <d v="2025-01-16T00:00:00"/>
    <d v="2025-01-17T00:00:00"/>
    <s v="M"/>
    <x v="0"/>
    <n v="5"/>
    <x v="0"/>
    <x v="3"/>
    <x v="3"/>
    <x v="2"/>
    <x v="1"/>
  </r>
  <r>
    <s v="TX500361"/>
    <x v="12"/>
    <x v="2"/>
    <n v="79.8"/>
    <n v="239.39999999999998"/>
    <d v="2025-01-16T00:00:00"/>
    <d v="2025-01-22T00:00:00"/>
    <s v="F"/>
    <x v="1"/>
    <n v="2"/>
    <x v="0"/>
    <x v="3"/>
    <x v="4"/>
    <x v="2"/>
    <x v="2"/>
  </r>
  <r>
    <s v="TX500362"/>
    <x v="1"/>
    <x v="12"/>
    <n v="63.6"/>
    <n v="254.4"/>
    <d v="2025-01-16T00:00:00"/>
    <d v="2025-01-17T00:00:00"/>
    <s v="O"/>
    <x v="0"/>
    <n v="5"/>
    <x v="0"/>
    <x v="24"/>
    <x v="3"/>
    <x v="2"/>
    <x v="3"/>
  </r>
  <r>
    <s v="TX500363"/>
    <x v="7"/>
    <x v="7"/>
    <n v="92.7"/>
    <n v="927"/>
    <d v="2025-01-16T00:00:00"/>
    <d v="2025-01-20T00:00:00"/>
    <s v="M"/>
    <x v="1"/>
    <n v="5"/>
    <x v="0"/>
    <x v="6"/>
    <x v="5"/>
    <x v="2"/>
    <x v="1"/>
  </r>
  <r>
    <s v="TX500364"/>
    <x v="1"/>
    <x v="12"/>
    <n v="48.4"/>
    <n v="193.6"/>
    <d v="2025-01-16T00:00:00"/>
    <d v="2025-01-18T00:00:00"/>
    <s v="F"/>
    <x v="1"/>
    <n v="5"/>
    <x v="0"/>
    <x v="6"/>
    <x v="1"/>
    <x v="2"/>
    <x v="2"/>
  </r>
  <r>
    <s v="TX500365"/>
    <x v="9"/>
    <x v="8"/>
    <n v="36"/>
    <n v="288"/>
    <d v="2025-01-16T00:00:00"/>
    <d v="2025-01-19T00:00:00"/>
    <s v="M"/>
    <x v="2"/>
    <n v="5"/>
    <x v="0"/>
    <x v="8"/>
    <x v="2"/>
    <x v="2"/>
    <x v="1"/>
  </r>
  <r>
    <s v="TX500366"/>
    <x v="8"/>
    <x v="4"/>
    <n v="27"/>
    <n v="324"/>
    <d v="2025-01-16T00:00:00"/>
    <d v="2025-01-18T00:00:00"/>
    <s v="F"/>
    <x v="2"/>
    <n v="3"/>
    <x v="0"/>
    <x v="8"/>
    <x v="1"/>
    <x v="2"/>
    <x v="2"/>
  </r>
  <r>
    <s v="TX500367"/>
    <x v="2"/>
    <x v="8"/>
    <n v="53.9"/>
    <n v="431.2"/>
    <d v="2025-01-16T00:00:00"/>
    <d v="2025-01-17T00:00:00"/>
    <s v=""/>
    <x v="0"/>
    <n v="4"/>
    <x v="0"/>
    <x v="8"/>
    <x v="3"/>
    <x v="2"/>
    <x v="0"/>
  </r>
  <r>
    <s v="TX500368"/>
    <x v="3"/>
    <x v="11"/>
    <n v="48.4"/>
    <n v="435.59999999999997"/>
    <d v="2025-01-16T00:00:00"/>
    <d v="2025-01-17T00:00:00"/>
    <s v="F"/>
    <x v="1"/>
    <n v="4"/>
    <x v="0"/>
    <x v="9"/>
    <x v="3"/>
    <x v="2"/>
    <x v="2"/>
  </r>
  <r>
    <s v="TX500369"/>
    <x v="17"/>
    <x v="1"/>
    <n v="49.9"/>
    <n v="99.8"/>
    <d v="2025-01-16T00:00:00"/>
    <d v="2025-01-21T00:00:00"/>
    <s v="M"/>
    <x v="4"/>
    <n v="2"/>
    <x v="0"/>
    <x v="10"/>
    <x v="0"/>
    <x v="2"/>
    <x v="1"/>
  </r>
  <r>
    <s v="TX500370"/>
    <x v="1"/>
    <x v="2"/>
    <n v="51.7"/>
    <n v="155.10000000000002"/>
    <d v="2025-01-16T00:00:00"/>
    <d v="2025-01-17T00:00:00"/>
    <s v="F"/>
    <x v="0"/>
    <n v="5"/>
    <x v="0"/>
    <x v="11"/>
    <x v="3"/>
    <x v="2"/>
    <x v="2"/>
  </r>
  <r>
    <s v="TX500371"/>
    <x v="8"/>
    <x v="2"/>
    <n v="41.8"/>
    <n v="125.39999999999999"/>
    <d v="2025-01-16T00:00:00"/>
    <d v="2025-01-18T00:00:00"/>
    <s v="F"/>
    <x v="2"/>
    <n v="4"/>
    <x v="0"/>
    <x v="18"/>
    <x v="1"/>
    <x v="2"/>
    <x v="2"/>
  </r>
  <r>
    <s v="TX500372"/>
    <x v="4"/>
    <x v="12"/>
    <n v="36.200000000000003"/>
    <n v="144.80000000000001"/>
    <d v="2025-01-17T00:00:00"/>
    <d v="2025-01-18T00:00:00"/>
    <s v="M"/>
    <x v="2"/>
    <n v="5"/>
    <x v="0"/>
    <x v="21"/>
    <x v="3"/>
    <x v="2"/>
    <x v="1"/>
  </r>
  <r>
    <s v="TX500373"/>
    <x v="2"/>
    <x v="0"/>
    <n v="150.9"/>
    <n v="150.9"/>
    <d v="2025-01-17T00:00:00"/>
    <d v="2025-01-27T00:00:00"/>
    <s v="M"/>
    <x v="0"/>
    <n v="4"/>
    <x v="0"/>
    <x v="1"/>
    <x v="14"/>
    <x v="2"/>
    <x v="1"/>
  </r>
  <r>
    <s v="TX500374"/>
    <x v="18"/>
    <x v="12"/>
    <n v="77.599999999999994"/>
    <n v="310.39999999999998"/>
    <d v="2025-01-17T00:00:00"/>
    <d v="2025-01-18T00:00:00"/>
    <s v=""/>
    <x v="2"/>
    <n v="4"/>
    <x v="0"/>
    <x v="3"/>
    <x v="3"/>
    <x v="2"/>
    <x v="0"/>
  </r>
  <r>
    <s v="TX500375"/>
    <x v="13"/>
    <x v="9"/>
    <n v="65.5"/>
    <n v="327.5"/>
    <d v="2025-01-17T00:00:00"/>
    <d v="2025-01-17T00:00:00"/>
    <s v="M"/>
    <x v="1"/>
    <n v="4"/>
    <x v="0"/>
    <x v="3"/>
    <x v="7"/>
    <x v="2"/>
    <x v="1"/>
  </r>
  <r>
    <s v="TX500376"/>
    <x v="6"/>
    <x v="2"/>
    <n v="90.1"/>
    <n v="270.29999999999995"/>
    <d v="2025-01-17T00:00:00"/>
    <d v="2025-01-19T00:00:00"/>
    <s v="F"/>
    <x v="0"/>
    <n v="4"/>
    <x v="0"/>
    <x v="3"/>
    <x v="1"/>
    <x v="2"/>
    <x v="2"/>
  </r>
  <r>
    <s v="TX500377"/>
    <x v="1"/>
    <x v="1"/>
    <n v="108.3"/>
    <n v="216.6"/>
    <d v="2025-01-17T00:00:00"/>
    <d v="2025-01-20T00:00:00"/>
    <s v="O"/>
    <x v="4"/>
    <n v="4"/>
    <x v="0"/>
    <x v="3"/>
    <x v="2"/>
    <x v="2"/>
    <x v="3"/>
  </r>
  <r>
    <s v="TX500378"/>
    <x v="5"/>
    <x v="2"/>
    <n v="59.9"/>
    <n v="179.7"/>
    <d v="2025-01-17T00:00:00"/>
    <d v="2025-01-21T00:00:00"/>
    <s v="F"/>
    <x v="0"/>
    <n v="4"/>
    <x v="0"/>
    <x v="3"/>
    <x v="5"/>
    <x v="2"/>
    <x v="2"/>
  </r>
  <r>
    <s v="TX500379"/>
    <x v="2"/>
    <x v="14"/>
    <n v="139"/>
    <n v="2363"/>
    <d v="2025-01-17T00:00:00"/>
    <d v="2025-01-19T00:00:00"/>
    <s v="F"/>
    <x v="1"/>
    <n v="2"/>
    <x v="0"/>
    <x v="3"/>
    <x v="1"/>
    <x v="2"/>
    <x v="2"/>
  </r>
  <r>
    <s v="TX500380"/>
    <x v="6"/>
    <x v="2"/>
    <n v="87.3"/>
    <n v="261.89999999999998"/>
    <d v="2025-01-17T00:00:00"/>
    <d v="2025-01-18T00:00:00"/>
    <s v="F"/>
    <x v="0"/>
    <n v="4"/>
    <x v="0"/>
    <x v="3"/>
    <x v="3"/>
    <x v="2"/>
    <x v="2"/>
  </r>
  <r>
    <s v="TX500381"/>
    <x v="11"/>
    <x v="12"/>
    <n v="42.3"/>
    <n v="169.2"/>
    <d v="2025-01-17T00:00:00"/>
    <d v="2025-01-17T00:00:00"/>
    <s v="M"/>
    <x v="0"/>
    <n v="4"/>
    <x v="0"/>
    <x v="3"/>
    <x v="7"/>
    <x v="2"/>
    <x v="1"/>
  </r>
  <r>
    <s v="TX500382"/>
    <x v="14"/>
    <x v="8"/>
    <n v="103.6"/>
    <n v="828.8"/>
    <d v="2025-01-17T00:00:00"/>
    <d v="2025-01-18T00:00:00"/>
    <s v="O"/>
    <x v="0"/>
    <n v="3"/>
    <x v="0"/>
    <x v="3"/>
    <x v="3"/>
    <x v="2"/>
    <x v="3"/>
  </r>
  <r>
    <s v="TX500383"/>
    <x v="6"/>
    <x v="1"/>
    <n v="90.9"/>
    <n v="181.8"/>
    <d v="2025-01-17T00:00:00"/>
    <d v="2025-01-18T00:00:00"/>
    <s v="M"/>
    <x v="1"/>
    <n v="4"/>
    <x v="0"/>
    <x v="6"/>
    <x v="3"/>
    <x v="2"/>
    <x v="1"/>
  </r>
  <r>
    <s v="TX500384"/>
    <x v="9"/>
    <x v="27"/>
    <n v="100.9"/>
    <n v="1614.4"/>
    <d v="2025-01-17T00:00:00"/>
    <d v="2025-01-18T00:00:00"/>
    <s v="F"/>
    <x v="1"/>
    <n v="4"/>
    <x v="0"/>
    <x v="6"/>
    <x v="3"/>
    <x v="2"/>
    <x v="2"/>
  </r>
  <r>
    <s v="TX500385"/>
    <x v="4"/>
    <x v="9"/>
    <n v="36"/>
    <n v="180"/>
    <d v="2025-01-17T00:00:00"/>
    <d v="2025-01-19T00:00:00"/>
    <s v="F"/>
    <x v="1"/>
    <n v="4"/>
    <x v="0"/>
    <x v="7"/>
    <x v="1"/>
    <x v="2"/>
    <x v="2"/>
  </r>
  <r>
    <s v="TX500386"/>
    <x v="6"/>
    <x v="13"/>
    <n v="83.3"/>
    <n v="499.79999999999995"/>
    <d v="2025-01-17T00:00:00"/>
    <d v="2025-01-20T00:00:00"/>
    <s v=""/>
    <x v="2"/>
    <n v="4"/>
    <x v="0"/>
    <x v="7"/>
    <x v="2"/>
    <x v="2"/>
    <x v="0"/>
  </r>
  <r>
    <s v="TX500387"/>
    <x v="2"/>
    <x v="14"/>
    <n v="60.3"/>
    <n v="1025.0999999999999"/>
    <d v="2025-01-17T00:00:00"/>
    <d v="2025-01-18T00:00:00"/>
    <s v="M"/>
    <x v="2"/>
    <n v="3"/>
    <x v="0"/>
    <x v="7"/>
    <x v="3"/>
    <x v="2"/>
    <x v="1"/>
  </r>
  <r>
    <s v="TX500388"/>
    <x v="2"/>
    <x v="13"/>
    <n v="120.3"/>
    <n v="721.8"/>
    <d v="2025-01-17T00:00:00"/>
    <d v="2025-01-18T00:00:00"/>
    <s v="M"/>
    <x v="2"/>
    <n v="4"/>
    <x v="0"/>
    <x v="8"/>
    <x v="3"/>
    <x v="2"/>
    <x v="1"/>
  </r>
  <r>
    <s v="TX500389"/>
    <x v="4"/>
    <x v="7"/>
    <n v="34"/>
    <n v="340"/>
    <d v="2025-01-17T00:00:00"/>
    <d v="2025-01-21T00:00:00"/>
    <s v="F"/>
    <x v="2"/>
    <n v="4"/>
    <x v="0"/>
    <x v="8"/>
    <x v="5"/>
    <x v="2"/>
    <x v="2"/>
  </r>
  <r>
    <s v="TX500390"/>
    <x v="10"/>
    <x v="9"/>
    <n v="42.6"/>
    <n v="213"/>
    <d v="2025-01-17T00:00:00"/>
    <d v="2025-01-20T00:00:00"/>
    <s v="M"/>
    <x v="1"/>
    <n v="4"/>
    <x v="0"/>
    <x v="8"/>
    <x v="2"/>
    <x v="2"/>
    <x v="1"/>
  </r>
  <r>
    <s v="TX500391"/>
    <x v="5"/>
    <x v="28"/>
    <n v="47.4"/>
    <n v="948"/>
    <d v="2025-01-17T00:00:00"/>
    <d v="2025-01-17T00:00:00"/>
    <s v="F"/>
    <x v="2"/>
    <n v="3"/>
    <x v="0"/>
    <x v="17"/>
    <x v="7"/>
    <x v="2"/>
    <x v="2"/>
  </r>
  <r>
    <s v="TX500392"/>
    <x v="2"/>
    <x v="0"/>
    <n v="74"/>
    <n v="74"/>
    <d v="2025-01-18T00:00:00"/>
    <d v="2025-01-19T00:00:00"/>
    <s v="M"/>
    <x v="1"/>
    <n v="4"/>
    <x v="0"/>
    <x v="11"/>
    <x v="3"/>
    <x v="2"/>
    <x v="1"/>
  </r>
  <r>
    <s v="TX500393"/>
    <x v="2"/>
    <x v="9"/>
    <n v="60.4"/>
    <n v="302"/>
    <d v="2025-01-18T00:00:00"/>
    <d v="2025-01-21T00:00:00"/>
    <s v="F"/>
    <x v="1"/>
    <n v="2"/>
    <x v="0"/>
    <x v="18"/>
    <x v="2"/>
    <x v="2"/>
    <x v="2"/>
  </r>
  <r>
    <s v="TX500394"/>
    <x v="12"/>
    <x v="1"/>
    <n v="69.3"/>
    <n v="138.6"/>
    <d v="2025-01-18T00:00:00"/>
    <d v="2025-01-21T00:00:00"/>
    <s v="M"/>
    <x v="1"/>
    <n v="3"/>
    <x v="0"/>
    <x v="13"/>
    <x v="2"/>
    <x v="2"/>
    <x v="1"/>
  </r>
  <r>
    <s v="TX500395"/>
    <x v="5"/>
    <x v="9"/>
    <n v="81"/>
    <n v="405"/>
    <d v="2025-01-18T00:00:00"/>
    <d v="2025-01-24T00:00:00"/>
    <s v="M"/>
    <x v="3"/>
    <n v="4"/>
    <x v="0"/>
    <x v="21"/>
    <x v="4"/>
    <x v="2"/>
    <x v="1"/>
  </r>
  <r>
    <s v="TX500396"/>
    <x v="15"/>
    <x v="2"/>
    <n v="41.5"/>
    <n v="124.5"/>
    <d v="2025-01-18T00:00:00"/>
    <d v="2025-01-20T00:00:00"/>
    <s v="O"/>
    <x v="1"/>
    <n v="4"/>
    <x v="0"/>
    <x v="21"/>
    <x v="1"/>
    <x v="2"/>
    <x v="3"/>
  </r>
  <r>
    <s v="TX500397"/>
    <x v="18"/>
    <x v="1"/>
    <n v="69.7"/>
    <n v="139.4"/>
    <d v="2025-01-18T00:00:00"/>
    <d v="2025-01-23T00:00:00"/>
    <s v="M"/>
    <x v="1"/>
    <n v="4"/>
    <x v="0"/>
    <x v="21"/>
    <x v="0"/>
    <x v="2"/>
    <x v="1"/>
  </r>
  <r>
    <s v="TX500398"/>
    <x v="2"/>
    <x v="9"/>
    <n v="83.6"/>
    <n v="418"/>
    <d v="2025-01-18T00:00:00"/>
    <d v="2025-01-18T00:00:00"/>
    <s v="F"/>
    <x v="4"/>
    <n v="4"/>
    <x v="0"/>
    <x v="1"/>
    <x v="7"/>
    <x v="2"/>
    <x v="2"/>
  </r>
  <r>
    <s v="TX500399"/>
    <x v="8"/>
    <x v="3"/>
    <n v="21.5"/>
    <n v="150.5"/>
    <d v="2025-01-18T00:00:00"/>
    <d v="2025-01-20T00:00:00"/>
    <s v="M"/>
    <x v="1"/>
    <n v="2"/>
    <x v="0"/>
    <x v="34"/>
    <x v="1"/>
    <x v="2"/>
    <x v="1"/>
  </r>
  <r>
    <s v="TX500400"/>
    <x v="8"/>
    <x v="8"/>
    <n v="28.6"/>
    <n v="228.8"/>
    <d v="2025-01-18T00:00:00"/>
    <d v="2025-01-19T00:00:00"/>
    <s v="M"/>
    <x v="0"/>
    <n v="4"/>
    <x v="0"/>
    <x v="3"/>
    <x v="3"/>
    <x v="2"/>
    <x v="1"/>
  </r>
  <r>
    <s v="TX500401"/>
    <x v="8"/>
    <x v="13"/>
    <n v="18.8"/>
    <n v="112.80000000000001"/>
    <d v="2025-01-18T00:00:00"/>
    <d v="2025-01-21T00:00:00"/>
    <s v="M"/>
    <x v="3"/>
    <n v="5"/>
    <x v="0"/>
    <x v="3"/>
    <x v="2"/>
    <x v="2"/>
    <x v="1"/>
  </r>
  <r>
    <s v="TX500402"/>
    <x v="10"/>
    <x v="12"/>
    <n v="35.1"/>
    <n v="140.4"/>
    <d v="2025-01-18T00:00:00"/>
    <d v="2025-01-18T00:00:00"/>
    <s v="F"/>
    <x v="1"/>
    <n v="3"/>
    <x v="0"/>
    <x v="3"/>
    <x v="7"/>
    <x v="2"/>
    <x v="2"/>
  </r>
  <r>
    <s v="TX500403"/>
    <x v="0"/>
    <x v="1"/>
    <n v="12.7"/>
    <n v="25.4"/>
    <d v="2025-01-18T00:00:00"/>
    <d v="2025-01-20T00:00:00"/>
    <s v="F"/>
    <x v="1"/>
    <n v="5"/>
    <x v="0"/>
    <x v="3"/>
    <x v="1"/>
    <x v="2"/>
    <x v="2"/>
  </r>
  <r>
    <s v="TX500404"/>
    <x v="8"/>
    <x v="9"/>
    <n v="27.4"/>
    <n v="137"/>
    <d v="2025-01-18T00:00:00"/>
    <d v="2025-01-20T00:00:00"/>
    <s v="O"/>
    <x v="0"/>
    <n v="4"/>
    <x v="0"/>
    <x v="3"/>
    <x v="1"/>
    <x v="2"/>
    <x v="3"/>
  </r>
  <r>
    <s v="TX500405"/>
    <x v="10"/>
    <x v="1"/>
    <n v="61.3"/>
    <n v="122.6"/>
    <d v="2025-01-18T00:00:00"/>
    <d v="2025-01-19T00:00:00"/>
    <s v="F"/>
    <x v="1"/>
    <n v="4"/>
    <x v="0"/>
    <x v="6"/>
    <x v="3"/>
    <x v="2"/>
    <x v="2"/>
  </r>
  <r>
    <s v="TX500406"/>
    <x v="8"/>
    <x v="1"/>
    <n v="64.7"/>
    <n v="129.4"/>
    <d v="2025-01-18T00:00:00"/>
    <d v="2025-01-20T00:00:00"/>
    <s v="F"/>
    <x v="3"/>
    <n v="5"/>
    <x v="0"/>
    <x v="6"/>
    <x v="1"/>
    <x v="2"/>
    <x v="2"/>
  </r>
  <r>
    <s v="TX500407"/>
    <x v="7"/>
    <x v="12"/>
    <n v="91.4"/>
    <n v="365.6"/>
    <d v="2025-01-18T00:00:00"/>
    <d v="2025-01-20T00:00:00"/>
    <s v="F"/>
    <x v="0"/>
    <n v="4"/>
    <x v="0"/>
    <x v="8"/>
    <x v="1"/>
    <x v="2"/>
    <x v="2"/>
  </r>
  <r>
    <s v="TX500408"/>
    <x v="0"/>
    <x v="1"/>
    <n v="33.1"/>
    <n v="66.2"/>
    <d v="2025-01-19T00:00:00"/>
    <d v="2025-01-20T00:00:00"/>
    <s v="M"/>
    <x v="0"/>
    <n v="5"/>
    <x v="0"/>
    <x v="8"/>
    <x v="3"/>
    <x v="3"/>
    <x v="1"/>
  </r>
  <r>
    <s v="TX500409"/>
    <x v="3"/>
    <x v="1"/>
    <n v="105.6"/>
    <n v="211.2"/>
    <d v="2025-01-19T00:00:00"/>
    <d v="2025-01-20T00:00:00"/>
    <s v="M"/>
    <x v="2"/>
    <n v="3"/>
    <x v="0"/>
    <x v="8"/>
    <x v="3"/>
    <x v="3"/>
    <x v="1"/>
  </r>
  <r>
    <s v="TX500410"/>
    <x v="10"/>
    <x v="2"/>
    <n v="46.4"/>
    <n v="139.19999999999999"/>
    <d v="2025-01-19T00:00:00"/>
    <d v="2025-01-20T00:00:00"/>
    <s v="M"/>
    <x v="2"/>
    <n v="4"/>
    <x v="0"/>
    <x v="9"/>
    <x v="3"/>
    <x v="3"/>
    <x v="1"/>
  </r>
  <r>
    <s v="TX500411"/>
    <x v="9"/>
    <x v="21"/>
    <n v="35.299999999999997"/>
    <n v="494.19999999999993"/>
    <d v="2025-01-19T00:00:00"/>
    <d v="2025-01-22T00:00:00"/>
    <s v="F"/>
    <x v="4"/>
    <n v="3"/>
    <x v="0"/>
    <x v="11"/>
    <x v="2"/>
    <x v="3"/>
    <x v="2"/>
  </r>
  <r>
    <s v="TX500412"/>
    <x v="0"/>
    <x v="1"/>
    <n v="16.100000000000001"/>
    <n v="32.200000000000003"/>
    <d v="2025-01-19T00:00:00"/>
    <d v="2025-01-21T00:00:00"/>
    <s v="M"/>
    <x v="3"/>
    <n v="5"/>
    <x v="0"/>
    <x v="32"/>
    <x v="1"/>
    <x v="3"/>
    <x v="1"/>
  </r>
  <r>
    <s v="TX500413"/>
    <x v="4"/>
    <x v="1"/>
    <n v="27.9"/>
    <n v="55.8"/>
    <d v="2025-01-19T00:00:00"/>
    <d v="2025-01-22T00:00:00"/>
    <s v="M"/>
    <x v="0"/>
    <n v="4"/>
    <x v="0"/>
    <x v="13"/>
    <x v="2"/>
    <x v="3"/>
    <x v="1"/>
  </r>
  <r>
    <s v="TX500414"/>
    <x v="8"/>
    <x v="0"/>
    <n v="47.1"/>
    <n v="47.1"/>
    <d v="2025-01-19T00:00:00"/>
    <d v="2025-01-27T00:00:00"/>
    <s v="F"/>
    <x v="1"/>
    <n v="4"/>
    <x v="0"/>
    <x v="2"/>
    <x v="9"/>
    <x v="3"/>
    <x v="2"/>
  </r>
  <r>
    <s v="TX500415"/>
    <x v="6"/>
    <x v="1"/>
    <n v="85"/>
    <n v="170"/>
    <d v="2025-01-19T00:00:00"/>
    <d v="2025-01-22T00:00:00"/>
    <s v=""/>
    <x v="2"/>
    <n v="5"/>
    <x v="0"/>
    <x v="22"/>
    <x v="2"/>
    <x v="3"/>
    <x v="0"/>
  </r>
  <r>
    <s v="TX500416"/>
    <x v="18"/>
    <x v="1"/>
    <n v="89"/>
    <n v="178"/>
    <d v="2025-01-19T00:00:00"/>
    <d v="2025-01-21T00:00:00"/>
    <s v="F"/>
    <x v="0"/>
    <n v="4"/>
    <x v="0"/>
    <x v="3"/>
    <x v="1"/>
    <x v="3"/>
    <x v="2"/>
  </r>
  <r>
    <s v="TX500417"/>
    <x v="16"/>
    <x v="2"/>
    <n v="36.6"/>
    <n v="109.80000000000001"/>
    <d v="2025-01-19T00:00:00"/>
    <d v="2025-01-20T00:00:00"/>
    <s v="O"/>
    <x v="3"/>
    <n v="5"/>
    <x v="0"/>
    <x v="3"/>
    <x v="3"/>
    <x v="3"/>
    <x v="3"/>
  </r>
  <r>
    <s v="TX500418"/>
    <x v="6"/>
    <x v="3"/>
    <n v="43.5"/>
    <n v="304.5"/>
    <d v="2025-01-19T00:00:00"/>
    <d v="2025-01-20T00:00:00"/>
    <s v="M"/>
    <x v="1"/>
    <n v="5"/>
    <x v="0"/>
    <x v="3"/>
    <x v="3"/>
    <x v="3"/>
    <x v="1"/>
  </r>
  <r>
    <s v="TX500419"/>
    <x v="9"/>
    <x v="10"/>
    <n v="30.5"/>
    <n v="579.5"/>
    <d v="2025-01-19T00:00:00"/>
    <d v="2025-01-19T00:00:00"/>
    <s v="F"/>
    <x v="3"/>
    <n v="4"/>
    <x v="0"/>
    <x v="3"/>
    <x v="7"/>
    <x v="3"/>
    <x v="2"/>
  </r>
  <r>
    <s v="TX500420"/>
    <x v="1"/>
    <x v="1"/>
    <n v="107.7"/>
    <n v="215.4"/>
    <d v="2025-01-19T00:00:00"/>
    <d v="2025-01-23T00:00:00"/>
    <s v="M"/>
    <x v="3"/>
    <n v="2"/>
    <x v="0"/>
    <x v="3"/>
    <x v="5"/>
    <x v="3"/>
    <x v="1"/>
  </r>
  <r>
    <s v="TX500421"/>
    <x v="17"/>
    <x v="18"/>
    <n v="57.1"/>
    <n v="1484.6000000000001"/>
    <d v="2025-01-19T00:00:00"/>
    <d v="2025-01-20T00:00:00"/>
    <s v="M"/>
    <x v="1"/>
    <n v="4"/>
    <x v="0"/>
    <x v="3"/>
    <x v="3"/>
    <x v="3"/>
    <x v="1"/>
  </r>
  <r>
    <s v="TX500422"/>
    <x v="2"/>
    <x v="7"/>
    <n v="111.7"/>
    <n v="1117"/>
    <d v="2025-01-19T00:00:00"/>
    <d v="2025-01-20T00:00:00"/>
    <s v="F"/>
    <x v="4"/>
    <n v="5"/>
    <x v="0"/>
    <x v="3"/>
    <x v="3"/>
    <x v="3"/>
    <x v="2"/>
  </r>
  <r>
    <s v="TX500423"/>
    <x v="18"/>
    <x v="3"/>
    <n v="44.3"/>
    <n v="310.09999999999997"/>
    <d v="2025-01-19T00:00:00"/>
    <d v="2025-01-22T00:00:00"/>
    <s v="M"/>
    <x v="3"/>
    <n v="5"/>
    <x v="0"/>
    <x v="3"/>
    <x v="2"/>
    <x v="3"/>
    <x v="1"/>
  </r>
  <r>
    <s v="TX500424"/>
    <x v="2"/>
    <x v="8"/>
    <n v="95.8"/>
    <n v="766.4"/>
    <d v="2025-01-19T00:00:00"/>
    <d v="2025-01-25T00:00:00"/>
    <s v="O"/>
    <x v="0"/>
    <n v="4"/>
    <x v="0"/>
    <x v="3"/>
    <x v="4"/>
    <x v="3"/>
    <x v="3"/>
  </r>
  <r>
    <s v="TX500425"/>
    <x v="10"/>
    <x v="3"/>
    <n v="22.6"/>
    <n v="158.20000000000002"/>
    <d v="2025-01-19T00:00:00"/>
    <d v="2025-01-22T00:00:00"/>
    <s v="F"/>
    <x v="3"/>
    <n v="3"/>
    <x v="0"/>
    <x v="3"/>
    <x v="2"/>
    <x v="3"/>
    <x v="2"/>
  </r>
  <r>
    <s v="TX500426"/>
    <x v="8"/>
    <x v="8"/>
    <n v="25.6"/>
    <n v="204.8"/>
    <d v="2025-01-19T00:00:00"/>
    <d v="2025-01-21T00:00:00"/>
    <s v="F"/>
    <x v="4"/>
    <n v="4"/>
    <x v="0"/>
    <x v="3"/>
    <x v="1"/>
    <x v="3"/>
    <x v="2"/>
  </r>
  <r>
    <s v="TX500427"/>
    <x v="6"/>
    <x v="27"/>
    <n v="54.3"/>
    <n v="868.8"/>
    <d v="2025-01-19T00:00:00"/>
    <d v="2025-01-22T00:00:00"/>
    <s v="F"/>
    <x v="4"/>
    <n v="4"/>
    <x v="0"/>
    <x v="3"/>
    <x v="2"/>
    <x v="3"/>
    <x v="2"/>
  </r>
  <r>
    <s v="TX500428"/>
    <x v="18"/>
    <x v="15"/>
    <n v="51.3"/>
    <n v="666.9"/>
    <d v="2025-01-19T00:00:00"/>
    <d v="2025-01-21T00:00:00"/>
    <s v="M"/>
    <x v="0"/>
    <n v="5"/>
    <x v="0"/>
    <x v="3"/>
    <x v="1"/>
    <x v="3"/>
    <x v="1"/>
  </r>
  <r>
    <s v="TX500429"/>
    <x v="0"/>
    <x v="8"/>
    <n v="25.6"/>
    <n v="204.8"/>
    <d v="2025-01-19T00:00:00"/>
    <d v="2025-01-20T00:00:00"/>
    <s v="F"/>
    <x v="1"/>
    <n v="3"/>
    <x v="0"/>
    <x v="3"/>
    <x v="3"/>
    <x v="3"/>
    <x v="2"/>
  </r>
  <r>
    <s v="TX500430"/>
    <x v="0"/>
    <x v="1"/>
    <n v="15.6"/>
    <n v="31.2"/>
    <d v="2025-01-19T00:00:00"/>
    <d v="2025-01-20T00:00:00"/>
    <s v="F"/>
    <x v="2"/>
    <n v="5"/>
    <x v="0"/>
    <x v="3"/>
    <x v="3"/>
    <x v="3"/>
    <x v="2"/>
  </r>
  <r>
    <s v="TX500431"/>
    <x v="8"/>
    <x v="2"/>
    <n v="30.3"/>
    <n v="90.9"/>
    <d v="2025-01-19T00:00:00"/>
    <d v="2025-01-23T00:00:00"/>
    <s v="F"/>
    <x v="0"/>
    <n v="3"/>
    <x v="0"/>
    <x v="3"/>
    <x v="5"/>
    <x v="3"/>
    <x v="2"/>
  </r>
  <r>
    <s v="TX500432"/>
    <x v="12"/>
    <x v="1"/>
    <n v="30.3"/>
    <n v="60.6"/>
    <d v="2025-01-19T00:00:00"/>
    <d v="2025-01-24T00:00:00"/>
    <s v="F"/>
    <x v="0"/>
    <n v="5"/>
    <x v="0"/>
    <x v="37"/>
    <x v="0"/>
    <x v="3"/>
    <x v="2"/>
  </r>
  <r>
    <s v="TX500433"/>
    <x v="10"/>
    <x v="2"/>
    <n v="53"/>
    <n v="159"/>
    <d v="2025-01-19T00:00:00"/>
    <d v="2025-01-26T00:00:00"/>
    <s v="F"/>
    <x v="2"/>
    <n v="4"/>
    <x v="0"/>
    <x v="24"/>
    <x v="6"/>
    <x v="3"/>
    <x v="2"/>
  </r>
  <r>
    <s v="TX500434"/>
    <x v="5"/>
    <x v="16"/>
    <n v="59.9"/>
    <n v="1078.2"/>
    <d v="2025-01-19T00:00:00"/>
    <d v="2025-01-22T00:00:00"/>
    <s v="M"/>
    <x v="2"/>
    <n v="2"/>
    <x v="0"/>
    <x v="25"/>
    <x v="2"/>
    <x v="3"/>
    <x v="1"/>
  </r>
  <r>
    <s v="TX500435"/>
    <x v="9"/>
    <x v="1"/>
    <n v="45.7"/>
    <n v="91.4"/>
    <d v="2025-01-19T00:00:00"/>
    <d v="2025-01-20T00:00:00"/>
    <s v="F"/>
    <x v="1"/>
    <n v="5"/>
    <x v="0"/>
    <x v="6"/>
    <x v="3"/>
    <x v="3"/>
    <x v="2"/>
  </r>
  <r>
    <s v="TX500436"/>
    <x v="8"/>
    <x v="12"/>
    <n v="46.1"/>
    <n v="184.4"/>
    <d v="2025-01-19T00:00:00"/>
    <d v="2025-01-20T00:00:00"/>
    <s v="M"/>
    <x v="0"/>
    <n v="4"/>
    <x v="0"/>
    <x v="6"/>
    <x v="3"/>
    <x v="3"/>
    <x v="1"/>
  </r>
  <r>
    <s v="TX500437"/>
    <x v="8"/>
    <x v="2"/>
    <n v="17.5"/>
    <n v="52.5"/>
    <d v="2025-01-19T00:00:00"/>
    <d v="2025-01-20T00:00:00"/>
    <s v="F"/>
    <x v="0"/>
    <n v="5"/>
    <x v="0"/>
    <x v="8"/>
    <x v="3"/>
    <x v="3"/>
    <x v="2"/>
  </r>
  <r>
    <s v="TX500438"/>
    <x v="10"/>
    <x v="2"/>
    <n v="36.5"/>
    <n v="109.5"/>
    <d v="2025-01-19T00:00:00"/>
    <d v="2025-01-30T00:00:00"/>
    <s v="M"/>
    <x v="2"/>
    <n v="4"/>
    <x v="0"/>
    <x v="8"/>
    <x v="11"/>
    <x v="3"/>
    <x v="1"/>
  </r>
  <r>
    <s v="TX500439"/>
    <x v="8"/>
    <x v="1"/>
    <n v="47.5"/>
    <n v="95"/>
    <d v="2025-01-20T00:00:00"/>
    <d v="2025-01-22T00:00:00"/>
    <s v="F"/>
    <x v="1"/>
    <n v="4"/>
    <x v="0"/>
    <x v="8"/>
    <x v="1"/>
    <x v="3"/>
    <x v="2"/>
  </r>
  <r>
    <s v="TX500440"/>
    <x v="6"/>
    <x v="9"/>
    <n v="45.6"/>
    <n v="228"/>
    <d v="2025-01-20T00:00:00"/>
    <d v="2025-01-22T00:00:00"/>
    <s v="F"/>
    <x v="0"/>
    <n v="5"/>
    <x v="0"/>
    <x v="8"/>
    <x v="1"/>
    <x v="3"/>
    <x v="2"/>
  </r>
  <r>
    <s v="TX500441"/>
    <x v="9"/>
    <x v="1"/>
    <n v="50.5"/>
    <n v="101"/>
    <d v="2025-01-20T00:00:00"/>
    <d v="2025-01-22T00:00:00"/>
    <s v="M"/>
    <x v="0"/>
    <n v="3"/>
    <x v="0"/>
    <x v="17"/>
    <x v="1"/>
    <x v="3"/>
    <x v="1"/>
  </r>
  <r>
    <s v="TX500442"/>
    <x v="2"/>
    <x v="7"/>
    <n v="99.8"/>
    <n v="998"/>
    <d v="2025-01-20T00:00:00"/>
    <d v="2025-01-23T00:00:00"/>
    <s v="F"/>
    <x v="2"/>
    <n v="3"/>
    <x v="0"/>
    <x v="17"/>
    <x v="2"/>
    <x v="3"/>
    <x v="2"/>
  </r>
  <r>
    <s v="TX500443"/>
    <x v="8"/>
    <x v="20"/>
    <n v="19.2"/>
    <n v="288"/>
    <d v="2025-01-20T00:00:00"/>
    <d v="2025-01-22T00:00:00"/>
    <s v="O"/>
    <x v="4"/>
    <n v="3"/>
    <x v="0"/>
    <x v="26"/>
    <x v="1"/>
    <x v="3"/>
    <x v="3"/>
  </r>
  <r>
    <s v="TX500444"/>
    <x v="17"/>
    <x v="2"/>
    <n v="22.6"/>
    <n v="67.800000000000011"/>
    <d v="2025-01-20T00:00:00"/>
    <d v="2025-01-21T00:00:00"/>
    <s v="M"/>
    <x v="1"/>
    <n v="4"/>
    <x v="0"/>
    <x v="11"/>
    <x v="3"/>
    <x v="3"/>
    <x v="1"/>
  </r>
  <r>
    <s v="TX500445"/>
    <x v="1"/>
    <x v="20"/>
    <n v="126.9"/>
    <n v="1903.5"/>
    <d v="2025-01-20T00:00:00"/>
    <d v="2025-01-22T00:00:00"/>
    <s v="F"/>
    <x v="0"/>
    <n v="5"/>
    <x v="0"/>
    <x v="11"/>
    <x v="1"/>
    <x v="3"/>
    <x v="2"/>
  </r>
  <r>
    <s v="TX500446"/>
    <x v="2"/>
    <x v="1"/>
    <n v="100.3"/>
    <n v="200.6"/>
    <d v="2025-01-20T00:00:00"/>
    <d v="2025-01-21T00:00:00"/>
    <s v="F"/>
    <x v="0"/>
    <n v="3"/>
    <x v="0"/>
    <x v="11"/>
    <x v="3"/>
    <x v="3"/>
    <x v="2"/>
  </r>
  <r>
    <s v="TX500447"/>
    <x v="4"/>
    <x v="16"/>
    <n v="24.6"/>
    <n v="442.8"/>
    <d v="2025-01-20T00:00:00"/>
    <d v="2025-01-21T00:00:00"/>
    <s v="F"/>
    <x v="4"/>
    <n v="4"/>
    <x v="0"/>
    <x v="13"/>
    <x v="3"/>
    <x v="3"/>
    <x v="2"/>
  </r>
  <r>
    <s v="TX500448"/>
    <x v="6"/>
    <x v="1"/>
    <n v="47.3"/>
    <n v="94.6"/>
    <d v="2025-01-20T00:00:00"/>
    <d v="2025-01-21T00:00:00"/>
    <s v="M"/>
    <x v="1"/>
    <n v="5"/>
    <x v="0"/>
    <x v="13"/>
    <x v="3"/>
    <x v="3"/>
    <x v="1"/>
  </r>
  <r>
    <s v="TX500449"/>
    <x v="6"/>
    <x v="3"/>
    <n v="40.799999999999997"/>
    <n v="285.59999999999997"/>
    <d v="2025-01-20T00:00:00"/>
    <d v="2025-01-23T00:00:00"/>
    <s v="F"/>
    <x v="2"/>
    <n v="5"/>
    <x v="0"/>
    <x v="21"/>
    <x v="2"/>
    <x v="3"/>
    <x v="2"/>
  </r>
  <r>
    <s v="TX500450"/>
    <x v="8"/>
    <x v="8"/>
    <n v="49.2"/>
    <n v="393.6"/>
    <d v="2025-01-20T00:00:00"/>
    <d v="2025-01-22T00:00:00"/>
    <s v="F"/>
    <x v="0"/>
    <n v="4"/>
    <x v="0"/>
    <x v="1"/>
    <x v="1"/>
    <x v="3"/>
    <x v="2"/>
  </r>
  <r>
    <s v="TX500451"/>
    <x v="8"/>
    <x v="0"/>
    <n v="28.5"/>
    <n v="28.5"/>
    <d v="2025-01-20T00:00:00"/>
    <d v="2025-01-22T00:00:00"/>
    <s v=""/>
    <x v="2"/>
    <n v="3"/>
    <x v="0"/>
    <x v="3"/>
    <x v="1"/>
    <x v="3"/>
    <x v="0"/>
  </r>
  <r>
    <s v="TX500452"/>
    <x v="18"/>
    <x v="1"/>
    <n v="36.799999999999997"/>
    <n v="73.599999999999994"/>
    <d v="2025-01-20T00:00:00"/>
    <d v="2025-01-26T00:00:00"/>
    <s v="F"/>
    <x v="0"/>
    <n v="5"/>
    <x v="0"/>
    <x v="3"/>
    <x v="4"/>
    <x v="3"/>
    <x v="2"/>
  </r>
  <r>
    <s v="TX500453"/>
    <x v="7"/>
    <x v="2"/>
    <n v="33.5"/>
    <n v="100.5"/>
    <d v="2025-01-20T00:00:00"/>
    <d v="2025-01-21T00:00:00"/>
    <s v="F"/>
    <x v="0"/>
    <n v="3"/>
    <x v="0"/>
    <x v="3"/>
    <x v="3"/>
    <x v="3"/>
    <x v="2"/>
  </r>
  <r>
    <s v="TX500454"/>
    <x v="6"/>
    <x v="13"/>
    <n v="62.5"/>
    <n v="375"/>
    <d v="2025-01-20T00:00:00"/>
    <d v="2025-01-22T00:00:00"/>
    <s v="F"/>
    <x v="0"/>
    <n v="4"/>
    <x v="0"/>
    <x v="3"/>
    <x v="1"/>
    <x v="3"/>
    <x v="2"/>
  </r>
  <r>
    <s v="TX500455"/>
    <x v="8"/>
    <x v="29"/>
    <n v="47.9"/>
    <n v="1916"/>
    <d v="2025-01-20T00:00:00"/>
    <d v="2025-01-21T00:00:00"/>
    <s v="F"/>
    <x v="3"/>
    <n v="4"/>
    <x v="0"/>
    <x v="3"/>
    <x v="3"/>
    <x v="3"/>
    <x v="2"/>
  </r>
  <r>
    <s v="TX500456"/>
    <x v="6"/>
    <x v="13"/>
    <n v="92.9"/>
    <n v="557.40000000000009"/>
    <d v="2025-01-20T00:00:00"/>
    <d v="2025-01-31T00:00:00"/>
    <s v="F"/>
    <x v="0"/>
    <n v="2"/>
    <x v="0"/>
    <x v="3"/>
    <x v="11"/>
    <x v="3"/>
    <x v="2"/>
  </r>
  <r>
    <s v="TX500457"/>
    <x v="12"/>
    <x v="2"/>
    <n v="44.1"/>
    <n v="132.30000000000001"/>
    <d v="2025-01-20T00:00:00"/>
    <d v="2025-01-20T00:00:00"/>
    <s v="F"/>
    <x v="1"/>
    <n v="3"/>
    <x v="0"/>
    <x v="43"/>
    <x v="7"/>
    <x v="3"/>
    <x v="2"/>
  </r>
  <r>
    <s v="TX500458"/>
    <x v="0"/>
    <x v="0"/>
    <n v="11.4"/>
    <n v="11.4"/>
    <d v="2025-01-21T00:00:00"/>
    <d v="2025-01-23T00:00:00"/>
    <s v="F"/>
    <x v="2"/>
    <n v="4"/>
    <x v="0"/>
    <x v="5"/>
    <x v="1"/>
    <x v="3"/>
    <x v="2"/>
  </r>
  <r>
    <s v="TX500459"/>
    <x v="6"/>
    <x v="0"/>
    <n v="83.7"/>
    <n v="83.7"/>
    <d v="2025-01-21T00:00:00"/>
    <d v="2025-01-23T00:00:00"/>
    <s v="F"/>
    <x v="0"/>
    <n v="5"/>
    <x v="0"/>
    <x v="6"/>
    <x v="1"/>
    <x v="3"/>
    <x v="2"/>
  </r>
  <r>
    <s v="TX500460"/>
    <x v="10"/>
    <x v="1"/>
    <n v="23.2"/>
    <n v="46.4"/>
    <d v="2025-01-21T00:00:00"/>
    <d v="2025-01-22T00:00:00"/>
    <s v="M"/>
    <x v="2"/>
    <n v="4"/>
    <x v="0"/>
    <x v="8"/>
    <x v="3"/>
    <x v="3"/>
    <x v="1"/>
  </r>
  <r>
    <s v="TX500461"/>
    <x v="2"/>
    <x v="0"/>
    <n v="162.1"/>
    <n v="162.1"/>
    <d v="2025-01-21T00:00:00"/>
    <d v="2025-01-24T00:00:00"/>
    <s v="F"/>
    <x v="0"/>
    <n v="5"/>
    <x v="0"/>
    <x v="9"/>
    <x v="2"/>
    <x v="3"/>
    <x v="2"/>
  </r>
  <r>
    <s v="TX500462"/>
    <x v="6"/>
    <x v="12"/>
    <n v="49.2"/>
    <n v="196.8"/>
    <d v="2025-01-21T00:00:00"/>
    <d v="2025-01-25T00:00:00"/>
    <s v="M"/>
    <x v="1"/>
    <n v="4"/>
    <x v="0"/>
    <x v="9"/>
    <x v="5"/>
    <x v="3"/>
    <x v="1"/>
  </r>
  <r>
    <s v="TX500463"/>
    <x v="1"/>
    <x v="1"/>
    <n v="61"/>
    <n v="122"/>
    <d v="2025-01-21T00:00:00"/>
    <d v="2025-01-22T00:00:00"/>
    <s v="M"/>
    <x v="3"/>
    <n v="4"/>
    <x v="0"/>
    <x v="10"/>
    <x v="3"/>
    <x v="3"/>
    <x v="1"/>
  </r>
  <r>
    <s v="TX500464"/>
    <x v="2"/>
    <x v="7"/>
    <n v="53.1"/>
    <n v="531"/>
    <d v="2025-01-21T00:00:00"/>
    <d v="2025-01-23T00:00:00"/>
    <s v="M"/>
    <x v="0"/>
    <n v="4"/>
    <x v="0"/>
    <x v="11"/>
    <x v="1"/>
    <x v="3"/>
    <x v="1"/>
  </r>
  <r>
    <s v="TX500465"/>
    <x v="4"/>
    <x v="1"/>
    <n v="22.4"/>
    <n v="44.8"/>
    <d v="2025-01-21T00:00:00"/>
    <d v="2025-01-23T00:00:00"/>
    <s v=""/>
    <x v="1"/>
    <n v="5"/>
    <x v="0"/>
    <x v="13"/>
    <x v="1"/>
    <x v="3"/>
    <x v="0"/>
  </r>
  <r>
    <s v="TX500466"/>
    <x v="1"/>
    <x v="9"/>
    <n v="75.3"/>
    <n v="376.5"/>
    <d v="2025-01-21T00:00:00"/>
    <d v="2025-01-22T00:00:00"/>
    <s v="M"/>
    <x v="0"/>
    <n v="4"/>
    <x v="0"/>
    <x v="21"/>
    <x v="3"/>
    <x v="3"/>
    <x v="1"/>
  </r>
  <r>
    <s v="TX500467"/>
    <x v="6"/>
    <x v="0"/>
    <n v="48.5"/>
    <n v="48.5"/>
    <d v="2025-01-21T00:00:00"/>
    <d v="2025-01-22T00:00:00"/>
    <s v="F"/>
    <x v="0"/>
    <n v="3"/>
    <x v="0"/>
    <x v="21"/>
    <x v="3"/>
    <x v="3"/>
    <x v="2"/>
  </r>
  <r>
    <s v="TX500468"/>
    <x v="6"/>
    <x v="0"/>
    <n v="42.6"/>
    <n v="42.6"/>
    <d v="2025-01-21T00:00:00"/>
    <d v="2025-01-25T00:00:00"/>
    <s v="F"/>
    <x v="3"/>
    <n v="4"/>
    <x v="0"/>
    <x v="1"/>
    <x v="5"/>
    <x v="3"/>
    <x v="2"/>
  </r>
  <r>
    <s v="TX500469"/>
    <x v="5"/>
    <x v="9"/>
    <n v="49"/>
    <n v="245"/>
    <d v="2025-01-21T00:00:00"/>
    <d v="2025-01-22T00:00:00"/>
    <s v="M"/>
    <x v="0"/>
    <n v="4"/>
    <x v="0"/>
    <x v="22"/>
    <x v="3"/>
    <x v="3"/>
    <x v="1"/>
  </r>
  <r>
    <s v="TX500470"/>
    <x v="8"/>
    <x v="2"/>
    <n v="31.3"/>
    <n v="93.9"/>
    <d v="2025-01-21T00:00:00"/>
    <d v="2025-01-22T00:00:00"/>
    <s v="M"/>
    <x v="2"/>
    <n v="3"/>
    <x v="0"/>
    <x v="3"/>
    <x v="3"/>
    <x v="3"/>
    <x v="1"/>
  </r>
  <r>
    <s v="TX500471"/>
    <x v="2"/>
    <x v="1"/>
    <n v="85.4"/>
    <n v="170.8"/>
    <d v="2025-01-21T00:00:00"/>
    <d v="2025-01-22T00:00:00"/>
    <s v="F"/>
    <x v="2"/>
    <n v="4"/>
    <x v="0"/>
    <x v="3"/>
    <x v="3"/>
    <x v="3"/>
    <x v="2"/>
  </r>
  <r>
    <s v="TX500472"/>
    <x v="8"/>
    <x v="12"/>
    <n v="40"/>
    <n v="160"/>
    <d v="2025-01-21T00:00:00"/>
    <d v="2025-01-22T00:00:00"/>
    <s v="O"/>
    <x v="0"/>
    <n v="5"/>
    <x v="0"/>
    <x v="3"/>
    <x v="3"/>
    <x v="3"/>
    <x v="3"/>
  </r>
  <r>
    <s v="TX500473"/>
    <x v="5"/>
    <x v="1"/>
    <n v="38.5"/>
    <n v="77"/>
    <d v="2025-01-21T00:00:00"/>
    <d v="2025-01-24T00:00:00"/>
    <s v="M"/>
    <x v="1"/>
    <n v="5"/>
    <x v="0"/>
    <x v="3"/>
    <x v="2"/>
    <x v="3"/>
    <x v="1"/>
  </r>
  <r>
    <s v="TX500474"/>
    <x v="2"/>
    <x v="1"/>
    <n v="57.8"/>
    <n v="115.6"/>
    <d v="2025-01-21T00:00:00"/>
    <d v="2025-01-22T00:00:00"/>
    <s v=""/>
    <x v="0"/>
    <n v="4"/>
    <x v="0"/>
    <x v="3"/>
    <x v="3"/>
    <x v="3"/>
    <x v="0"/>
  </r>
  <r>
    <s v="TX500475"/>
    <x v="8"/>
    <x v="0"/>
    <n v="19.2"/>
    <n v="19.2"/>
    <d v="2025-01-21T00:00:00"/>
    <d v="2025-01-22T00:00:00"/>
    <s v="F"/>
    <x v="0"/>
    <n v="2"/>
    <x v="0"/>
    <x v="3"/>
    <x v="3"/>
    <x v="3"/>
    <x v="2"/>
  </r>
  <r>
    <s v="TX500476"/>
    <x v="6"/>
    <x v="13"/>
    <n v="114.8"/>
    <n v="688.8"/>
    <d v="2025-01-21T00:00:00"/>
    <d v="2025-01-24T00:00:00"/>
    <s v="M"/>
    <x v="1"/>
    <n v="3"/>
    <x v="0"/>
    <x v="3"/>
    <x v="2"/>
    <x v="3"/>
    <x v="1"/>
  </r>
  <r>
    <s v="TX500477"/>
    <x v="10"/>
    <x v="3"/>
    <n v="48.4"/>
    <n v="338.8"/>
    <d v="2025-01-21T00:00:00"/>
    <d v="2025-01-24T00:00:00"/>
    <s v="F"/>
    <x v="3"/>
    <n v="3"/>
    <x v="0"/>
    <x v="3"/>
    <x v="2"/>
    <x v="3"/>
    <x v="2"/>
  </r>
  <r>
    <s v="TX500478"/>
    <x v="9"/>
    <x v="9"/>
    <n v="73.2"/>
    <n v="366"/>
    <d v="2025-01-21T00:00:00"/>
    <d v="2025-01-22T00:00:00"/>
    <s v="F"/>
    <x v="1"/>
    <n v="2"/>
    <x v="0"/>
    <x v="3"/>
    <x v="3"/>
    <x v="3"/>
    <x v="2"/>
  </r>
  <r>
    <s v="TX500479"/>
    <x v="15"/>
    <x v="1"/>
    <n v="48.6"/>
    <n v="97.2"/>
    <d v="2025-01-21T00:00:00"/>
    <d v="2025-01-25T00:00:00"/>
    <s v="F"/>
    <x v="3"/>
    <n v="4"/>
    <x v="0"/>
    <x v="3"/>
    <x v="5"/>
    <x v="3"/>
    <x v="2"/>
  </r>
  <r>
    <s v="TX500480"/>
    <x v="0"/>
    <x v="13"/>
    <n v="48.7"/>
    <n v="292.20000000000005"/>
    <d v="2025-01-21T00:00:00"/>
    <d v="2025-01-22T00:00:00"/>
    <s v="M"/>
    <x v="0"/>
    <n v="4"/>
    <x v="0"/>
    <x v="3"/>
    <x v="3"/>
    <x v="3"/>
    <x v="1"/>
  </r>
  <r>
    <s v="TX500481"/>
    <x v="4"/>
    <x v="1"/>
    <n v="32.200000000000003"/>
    <n v="64.400000000000006"/>
    <d v="2025-01-21T00:00:00"/>
    <d v="2025-01-24T00:00:00"/>
    <s v="M"/>
    <x v="2"/>
    <n v="5"/>
    <x v="0"/>
    <x v="3"/>
    <x v="2"/>
    <x v="3"/>
    <x v="1"/>
  </r>
  <r>
    <s v="TX500482"/>
    <x v="15"/>
    <x v="8"/>
    <n v="25.8"/>
    <n v="206.4"/>
    <d v="2025-01-21T00:00:00"/>
    <d v="2025-01-22T00:00:00"/>
    <s v="M"/>
    <x v="0"/>
    <n v="4"/>
    <x v="0"/>
    <x v="37"/>
    <x v="3"/>
    <x v="3"/>
    <x v="1"/>
  </r>
  <r>
    <s v="TX500483"/>
    <x v="6"/>
    <x v="1"/>
    <n v="94.8"/>
    <n v="189.6"/>
    <d v="2025-01-22T00:00:00"/>
    <d v="2025-01-25T00:00:00"/>
    <s v="F"/>
    <x v="1"/>
    <n v="3"/>
    <x v="0"/>
    <x v="25"/>
    <x v="2"/>
    <x v="3"/>
    <x v="2"/>
  </r>
  <r>
    <s v="TX500484"/>
    <x v="15"/>
    <x v="30"/>
    <n v="56.8"/>
    <n v="1420"/>
    <d v="2025-01-22T00:00:00"/>
    <d v="2025-01-25T00:00:00"/>
    <s v="M"/>
    <x v="0"/>
    <n v="4"/>
    <x v="0"/>
    <x v="25"/>
    <x v="2"/>
    <x v="3"/>
    <x v="1"/>
  </r>
  <r>
    <s v="TX500485"/>
    <x v="8"/>
    <x v="27"/>
    <n v="18.3"/>
    <n v="292.8"/>
    <d v="2025-01-22T00:00:00"/>
    <d v="2025-01-29T00:00:00"/>
    <s v="F"/>
    <x v="2"/>
    <n v="5"/>
    <x v="0"/>
    <x v="23"/>
    <x v="6"/>
    <x v="3"/>
    <x v="2"/>
  </r>
  <r>
    <s v="TX500486"/>
    <x v="0"/>
    <x v="2"/>
    <n v="16.8"/>
    <n v="50.400000000000006"/>
    <d v="2025-01-22T00:00:00"/>
    <d v="2025-01-27T00:00:00"/>
    <s v="F"/>
    <x v="2"/>
    <n v="5"/>
    <x v="0"/>
    <x v="8"/>
    <x v="0"/>
    <x v="3"/>
    <x v="2"/>
  </r>
  <r>
    <s v="TX500487"/>
    <x v="5"/>
    <x v="5"/>
    <n v="35.799999999999997"/>
    <n v="393.79999999999995"/>
    <d v="2025-01-22T00:00:00"/>
    <d v="2025-01-23T00:00:00"/>
    <s v="M"/>
    <x v="1"/>
    <n v="4"/>
    <x v="0"/>
    <x v="17"/>
    <x v="3"/>
    <x v="3"/>
    <x v="1"/>
  </r>
  <r>
    <s v="TX500488"/>
    <x v="18"/>
    <x v="0"/>
    <n v="64.900000000000006"/>
    <n v="64.900000000000006"/>
    <d v="2025-01-22T00:00:00"/>
    <d v="2025-01-23T00:00:00"/>
    <s v="M"/>
    <x v="0"/>
    <n v="3"/>
    <x v="0"/>
    <x v="17"/>
    <x v="3"/>
    <x v="3"/>
    <x v="1"/>
  </r>
  <r>
    <s v="TX500489"/>
    <x v="18"/>
    <x v="0"/>
    <n v="28.5"/>
    <n v="28.5"/>
    <d v="2025-01-22T00:00:00"/>
    <d v="2025-01-24T00:00:00"/>
    <s v=""/>
    <x v="1"/>
    <n v="4"/>
    <x v="0"/>
    <x v="9"/>
    <x v="1"/>
    <x v="3"/>
    <x v="0"/>
  </r>
  <r>
    <s v="TX500490"/>
    <x v="18"/>
    <x v="1"/>
    <n v="103.5"/>
    <n v="207"/>
    <d v="2025-01-22T00:00:00"/>
    <d v="2025-01-24T00:00:00"/>
    <s v="F"/>
    <x v="1"/>
    <n v="4"/>
    <x v="0"/>
    <x v="10"/>
    <x v="1"/>
    <x v="3"/>
    <x v="2"/>
  </r>
  <r>
    <s v="TX500491"/>
    <x v="4"/>
    <x v="1"/>
    <n v="41.2"/>
    <n v="82.4"/>
    <d v="2025-01-22T00:00:00"/>
    <d v="2025-01-23T00:00:00"/>
    <s v="F"/>
    <x v="1"/>
    <n v="4"/>
    <x v="0"/>
    <x v="10"/>
    <x v="3"/>
    <x v="3"/>
    <x v="2"/>
  </r>
  <r>
    <s v="TX500492"/>
    <x v="9"/>
    <x v="0"/>
    <n v="37.799999999999997"/>
    <n v="37.799999999999997"/>
    <d v="2025-01-22T00:00:00"/>
    <d v="2025-01-24T00:00:00"/>
    <s v="F"/>
    <x v="3"/>
    <n v="1"/>
    <x v="0"/>
    <x v="11"/>
    <x v="1"/>
    <x v="3"/>
    <x v="2"/>
  </r>
  <r>
    <s v="TX500493"/>
    <x v="8"/>
    <x v="1"/>
    <n v="42.6"/>
    <n v="85.2"/>
    <d v="2025-01-22T00:00:00"/>
    <d v="2025-01-24T00:00:00"/>
    <s v="F"/>
    <x v="4"/>
    <n v="4"/>
    <x v="0"/>
    <x v="11"/>
    <x v="1"/>
    <x v="3"/>
    <x v="2"/>
  </r>
  <r>
    <s v="TX500494"/>
    <x v="8"/>
    <x v="7"/>
    <n v="15.2"/>
    <n v="152"/>
    <d v="2025-01-22T00:00:00"/>
    <d v="2025-01-24T00:00:00"/>
    <s v="F"/>
    <x v="2"/>
    <n v="4"/>
    <x v="0"/>
    <x v="11"/>
    <x v="1"/>
    <x v="3"/>
    <x v="2"/>
  </r>
  <r>
    <s v="TX500495"/>
    <x v="7"/>
    <x v="12"/>
    <n v="83.4"/>
    <n v="333.6"/>
    <d v="2025-01-22T00:00:00"/>
    <d v="2025-01-23T00:00:00"/>
    <s v="F"/>
    <x v="2"/>
    <n v="3"/>
    <x v="0"/>
    <x v="18"/>
    <x v="3"/>
    <x v="3"/>
    <x v="2"/>
  </r>
  <r>
    <s v="TX500496"/>
    <x v="19"/>
    <x v="1"/>
    <n v="27.7"/>
    <n v="55.4"/>
    <d v="2025-01-22T00:00:00"/>
    <d v="2025-01-23T00:00:00"/>
    <s v="F"/>
    <x v="0"/>
    <n v="3"/>
    <x v="0"/>
    <x v="13"/>
    <x v="3"/>
    <x v="3"/>
    <x v="2"/>
  </r>
  <r>
    <s v="TX500497"/>
    <x v="10"/>
    <x v="4"/>
    <n v="20.8"/>
    <n v="249.60000000000002"/>
    <d v="2025-01-22T00:00:00"/>
    <d v="2025-01-23T00:00:00"/>
    <s v="M"/>
    <x v="3"/>
    <n v="4"/>
    <x v="0"/>
    <x v="13"/>
    <x v="3"/>
    <x v="3"/>
    <x v="1"/>
  </r>
  <r>
    <s v="TX500498"/>
    <x v="11"/>
    <x v="1"/>
    <n v="72.7"/>
    <n v="145.4"/>
    <d v="2025-01-22T00:00:00"/>
    <d v="2025-01-26T00:00:00"/>
    <s v="F"/>
    <x v="4"/>
    <n v="5"/>
    <x v="0"/>
    <x v="44"/>
    <x v="5"/>
    <x v="3"/>
    <x v="2"/>
  </r>
  <r>
    <s v="TX500499"/>
    <x v="10"/>
    <x v="12"/>
    <n v="38.6"/>
    <n v="154.4"/>
    <d v="2025-01-22T00:00:00"/>
    <d v="2025-01-23T00:00:00"/>
    <s v="M"/>
    <x v="0"/>
    <n v="5"/>
    <x v="0"/>
    <x v="22"/>
    <x v="3"/>
    <x v="3"/>
    <x v="1"/>
  </r>
  <r>
    <s v="TX500500"/>
    <x v="8"/>
    <x v="3"/>
    <n v="33.1"/>
    <n v="231.70000000000002"/>
    <d v="2025-01-22T00:00:00"/>
    <d v="2025-01-23T00:00:00"/>
    <s v="O"/>
    <x v="4"/>
    <n v="1"/>
    <x v="0"/>
    <x v="3"/>
    <x v="3"/>
    <x v="3"/>
    <x v="3"/>
  </r>
  <r>
    <s v="TX500501"/>
    <x v="10"/>
    <x v="1"/>
    <n v="30.5"/>
    <n v="61"/>
    <d v="2025-01-22T00:00:00"/>
    <d v="2025-01-22T00:00:00"/>
    <s v=""/>
    <x v="1"/>
    <n v="3"/>
    <x v="0"/>
    <x v="3"/>
    <x v="7"/>
    <x v="3"/>
    <x v="0"/>
  </r>
  <r>
    <s v="TX500502"/>
    <x v="9"/>
    <x v="1"/>
    <n v="69.599999999999994"/>
    <n v="139.19999999999999"/>
    <d v="2025-01-22T00:00:00"/>
    <d v="2025-01-23T00:00:00"/>
    <s v="M"/>
    <x v="0"/>
    <n v="3"/>
    <x v="0"/>
    <x v="3"/>
    <x v="3"/>
    <x v="3"/>
    <x v="1"/>
  </r>
  <r>
    <s v="TX500503"/>
    <x v="11"/>
    <x v="0"/>
    <n v="42.4"/>
    <n v="42.4"/>
    <d v="2025-01-22T00:00:00"/>
    <d v="2025-01-26T00:00:00"/>
    <s v="F"/>
    <x v="1"/>
    <n v="4"/>
    <x v="0"/>
    <x v="3"/>
    <x v="5"/>
    <x v="3"/>
    <x v="2"/>
  </r>
  <r>
    <s v="TX500504"/>
    <x v="17"/>
    <x v="0"/>
    <n v="32.200000000000003"/>
    <n v="32.200000000000003"/>
    <d v="2025-01-22T00:00:00"/>
    <d v="2025-01-25T00:00:00"/>
    <s v="F"/>
    <x v="2"/>
    <n v="3"/>
    <x v="0"/>
    <x v="3"/>
    <x v="2"/>
    <x v="3"/>
    <x v="2"/>
  </r>
  <r>
    <s v="TX500505"/>
    <x v="6"/>
    <x v="1"/>
    <n v="41.5"/>
    <n v="83"/>
    <d v="2025-01-22T00:00:00"/>
    <d v="2025-01-25T00:00:00"/>
    <s v="F"/>
    <x v="0"/>
    <n v="5"/>
    <x v="0"/>
    <x v="3"/>
    <x v="2"/>
    <x v="3"/>
    <x v="2"/>
  </r>
  <r>
    <s v="TX500506"/>
    <x v="16"/>
    <x v="11"/>
    <n v="58.9"/>
    <n v="530.1"/>
    <d v="2025-01-22T00:00:00"/>
    <d v="2025-01-26T00:00:00"/>
    <s v="F"/>
    <x v="3"/>
    <n v="4"/>
    <x v="0"/>
    <x v="3"/>
    <x v="5"/>
    <x v="3"/>
    <x v="2"/>
  </r>
  <r>
    <s v="TX500507"/>
    <x v="2"/>
    <x v="0"/>
    <n v="57.1"/>
    <n v="57.1"/>
    <d v="2025-01-22T00:00:00"/>
    <d v="2025-01-25T00:00:00"/>
    <s v="F"/>
    <x v="1"/>
    <n v="4"/>
    <x v="0"/>
    <x v="3"/>
    <x v="2"/>
    <x v="3"/>
    <x v="2"/>
  </r>
  <r>
    <s v="TX500508"/>
    <x v="6"/>
    <x v="0"/>
    <n v="57.2"/>
    <n v="57.2"/>
    <d v="2025-01-22T00:00:00"/>
    <d v="2025-01-24T00:00:00"/>
    <s v="M"/>
    <x v="1"/>
    <n v="4"/>
    <x v="0"/>
    <x v="3"/>
    <x v="1"/>
    <x v="3"/>
    <x v="1"/>
  </r>
  <r>
    <s v="TX500509"/>
    <x v="8"/>
    <x v="1"/>
    <n v="35.1"/>
    <n v="70.2"/>
    <d v="2025-01-22T00:00:00"/>
    <d v="2025-01-23T00:00:00"/>
    <s v="M"/>
    <x v="1"/>
    <n v="4"/>
    <x v="0"/>
    <x v="6"/>
    <x v="3"/>
    <x v="3"/>
    <x v="1"/>
  </r>
  <r>
    <s v="TX500510"/>
    <x v="1"/>
    <x v="0"/>
    <n v="52.1"/>
    <n v="52.1"/>
    <d v="2025-01-22T00:00:00"/>
    <d v="2025-01-24T00:00:00"/>
    <s v="F"/>
    <x v="4"/>
    <n v="3"/>
    <x v="0"/>
    <x v="8"/>
    <x v="1"/>
    <x v="3"/>
    <x v="2"/>
  </r>
  <r>
    <s v="TX500511"/>
    <x v="13"/>
    <x v="2"/>
    <n v="59.8"/>
    <n v="179.39999999999998"/>
    <d v="2025-01-22T00:00:00"/>
    <d v="2025-01-24T00:00:00"/>
    <s v="F"/>
    <x v="4"/>
    <n v="3"/>
    <x v="0"/>
    <x v="8"/>
    <x v="1"/>
    <x v="3"/>
    <x v="2"/>
  </r>
  <r>
    <s v="TX500512"/>
    <x v="3"/>
    <x v="12"/>
    <n v="83.3"/>
    <n v="333.2"/>
    <d v="2025-01-22T00:00:00"/>
    <d v="2025-01-22T00:00:00"/>
    <s v=""/>
    <x v="2"/>
    <n v="4"/>
    <x v="0"/>
    <x v="8"/>
    <x v="7"/>
    <x v="3"/>
    <x v="0"/>
  </r>
  <r>
    <s v="TX500513"/>
    <x v="15"/>
    <x v="4"/>
    <n v="41.3"/>
    <n v="495.59999999999997"/>
    <d v="2025-01-22T00:00:00"/>
    <d v="2025-01-23T00:00:00"/>
    <s v="F"/>
    <x v="1"/>
    <n v="4"/>
    <x v="0"/>
    <x v="8"/>
    <x v="3"/>
    <x v="3"/>
    <x v="2"/>
  </r>
  <r>
    <s v="TX500514"/>
    <x v="8"/>
    <x v="9"/>
    <n v="16"/>
    <n v="80"/>
    <d v="2025-01-22T00:00:00"/>
    <d v="2025-01-24T00:00:00"/>
    <s v="M"/>
    <x v="4"/>
    <n v="3"/>
    <x v="0"/>
    <x v="9"/>
    <x v="1"/>
    <x v="3"/>
    <x v="1"/>
  </r>
  <r>
    <s v="TX500515"/>
    <x v="10"/>
    <x v="1"/>
    <n v="20.8"/>
    <n v="41.6"/>
    <d v="2025-01-23T00:00:00"/>
    <d v="2025-01-25T00:00:00"/>
    <s v="M"/>
    <x v="0"/>
    <n v="5"/>
    <x v="0"/>
    <x v="11"/>
    <x v="1"/>
    <x v="3"/>
    <x v="1"/>
  </r>
  <r>
    <s v="TX500516"/>
    <x v="8"/>
    <x v="31"/>
    <n v="27.1"/>
    <n v="758.80000000000007"/>
    <d v="2025-01-23T00:00:00"/>
    <d v="2025-01-24T00:00:00"/>
    <s v=""/>
    <x v="3"/>
    <n v="5"/>
    <x v="0"/>
    <x v="11"/>
    <x v="3"/>
    <x v="3"/>
    <x v="0"/>
  </r>
  <r>
    <s v="TX500517"/>
    <x v="10"/>
    <x v="1"/>
    <n v="38.9"/>
    <n v="77.8"/>
    <d v="2025-01-23T00:00:00"/>
    <d v="2025-01-25T00:00:00"/>
    <s v="F"/>
    <x v="0"/>
    <n v="4"/>
    <x v="0"/>
    <x v="18"/>
    <x v="1"/>
    <x v="3"/>
    <x v="2"/>
  </r>
  <r>
    <s v="TX500518"/>
    <x v="0"/>
    <x v="1"/>
    <n v="10.8"/>
    <n v="21.6"/>
    <d v="2025-01-23T00:00:00"/>
    <d v="2025-01-26T00:00:00"/>
    <s v="F"/>
    <x v="1"/>
    <n v="5"/>
    <x v="0"/>
    <x v="45"/>
    <x v="2"/>
    <x v="3"/>
    <x v="2"/>
  </r>
  <r>
    <s v="TX500519"/>
    <x v="4"/>
    <x v="15"/>
    <n v="48.4"/>
    <n v="629.19999999999993"/>
    <d v="2025-01-23T00:00:00"/>
    <d v="2025-01-27T00:00:00"/>
    <s v="F"/>
    <x v="0"/>
    <n v="4"/>
    <x v="0"/>
    <x v="21"/>
    <x v="5"/>
    <x v="3"/>
    <x v="2"/>
  </r>
  <r>
    <s v="TX500520"/>
    <x v="4"/>
    <x v="2"/>
    <n v="29.2"/>
    <n v="87.6"/>
    <d v="2025-01-23T00:00:00"/>
    <d v="2025-01-26T00:00:00"/>
    <s v="F"/>
    <x v="1"/>
    <n v="3"/>
    <x v="0"/>
    <x v="2"/>
    <x v="2"/>
    <x v="3"/>
    <x v="2"/>
  </r>
  <r>
    <s v="TX500521"/>
    <x v="4"/>
    <x v="1"/>
    <n v="25.1"/>
    <n v="50.2"/>
    <d v="2025-01-23T00:00:00"/>
    <d v="2025-01-24T00:00:00"/>
    <s v="M"/>
    <x v="0"/>
    <n v="3"/>
    <x v="0"/>
    <x v="2"/>
    <x v="3"/>
    <x v="3"/>
    <x v="1"/>
  </r>
  <r>
    <s v="TX500522"/>
    <x v="7"/>
    <x v="2"/>
    <n v="65.599999999999994"/>
    <n v="196.79999999999998"/>
    <d v="2025-01-23T00:00:00"/>
    <d v="2025-01-23T00:00:00"/>
    <s v="F"/>
    <x v="2"/>
    <n v="3"/>
    <x v="0"/>
    <x v="3"/>
    <x v="7"/>
    <x v="3"/>
    <x v="2"/>
  </r>
  <r>
    <s v="TX500523"/>
    <x v="2"/>
    <x v="1"/>
    <n v="57.3"/>
    <n v="114.6"/>
    <d v="2025-01-23T00:00:00"/>
    <d v="2025-01-23T00:00:00"/>
    <s v=""/>
    <x v="0"/>
    <n v="4"/>
    <x v="0"/>
    <x v="3"/>
    <x v="7"/>
    <x v="3"/>
    <x v="0"/>
  </r>
  <r>
    <s v="TX500524"/>
    <x v="9"/>
    <x v="12"/>
    <n v="22.4"/>
    <n v="89.6"/>
    <d v="2025-01-23T00:00:00"/>
    <d v="2025-01-24T00:00:00"/>
    <s v="F"/>
    <x v="2"/>
    <n v="5"/>
    <x v="0"/>
    <x v="3"/>
    <x v="3"/>
    <x v="3"/>
    <x v="2"/>
  </r>
  <r>
    <s v="TX500525"/>
    <x v="12"/>
    <x v="11"/>
    <n v="45.7"/>
    <n v="411.3"/>
    <d v="2025-01-23T00:00:00"/>
    <d v="2025-01-24T00:00:00"/>
    <s v="F"/>
    <x v="0"/>
    <n v="4"/>
    <x v="0"/>
    <x v="3"/>
    <x v="3"/>
    <x v="3"/>
    <x v="2"/>
  </r>
  <r>
    <s v="TX500526"/>
    <x v="8"/>
    <x v="1"/>
    <n v="29.3"/>
    <n v="58.6"/>
    <d v="2025-01-23T00:00:00"/>
    <d v="2025-01-24T00:00:00"/>
    <s v="M"/>
    <x v="1"/>
    <n v="4"/>
    <x v="0"/>
    <x v="3"/>
    <x v="3"/>
    <x v="3"/>
    <x v="1"/>
  </r>
  <r>
    <s v="TX500527"/>
    <x v="18"/>
    <x v="32"/>
    <n v="74"/>
    <n v="1628"/>
    <d v="2025-01-23T00:00:00"/>
    <d v="2025-01-24T00:00:00"/>
    <s v="M"/>
    <x v="0"/>
    <n v="5"/>
    <x v="0"/>
    <x v="3"/>
    <x v="3"/>
    <x v="3"/>
    <x v="1"/>
  </r>
  <r>
    <s v="TX500528"/>
    <x v="14"/>
    <x v="1"/>
    <n v="39.200000000000003"/>
    <n v="78.400000000000006"/>
    <d v="2025-01-23T00:00:00"/>
    <d v="2025-01-25T00:00:00"/>
    <s v="F"/>
    <x v="1"/>
    <n v="4"/>
    <x v="0"/>
    <x v="3"/>
    <x v="1"/>
    <x v="3"/>
    <x v="2"/>
  </r>
  <r>
    <s v="TX500529"/>
    <x v="4"/>
    <x v="14"/>
    <n v="62.7"/>
    <n v="1065.9000000000001"/>
    <d v="2025-01-23T00:00:00"/>
    <d v="2025-01-24T00:00:00"/>
    <s v="F"/>
    <x v="2"/>
    <n v="3"/>
    <x v="0"/>
    <x v="3"/>
    <x v="3"/>
    <x v="3"/>
    <x v="2"/>
  </r>
  <r>
    <s v="TX500530"/>
    <x v="10"/>
    <x v="1"/>
    <n v="60.1"/>
    <n v="120.2"/>
    <d v="2025-01-23T00:00:00"/>
    <d v="2025-01-24T00:00:00"/>
    <s v="F"/>
    <x v="3"/>
    <n v="4"/>
    <x v="0"/>
    <x v="3"/>
    <x v="3"/>
    <x v="3"/>
    <x v="2"/>
  </r>
  <r>
    <s v="TX500531"/>
    <x v="0"/>
    <x v="12"/>
    <n v="11.2"/>
    <n v="44.8"/>
    <d v="2025-01-23T00:00:00"/>
    <d v="2025-01-24T00:00:00"/>
    <s v="F"/>
    <x v="3"/>
    <n v="3"/>
    <x v="0"/>
    <x v="3"/>
    <x v="3"/>
    <x v="3"/>
    <x v="2"/>
  </r>
  <r>
    <s v="TX500532"/>
    <x v="8"/>
    <x v="1"/>
    <n v="22.9"/>
    <n v="45.8"/>
    <d v="2025-01-23T00:00:00"/>
    <d v="2025-01-24T00:00:00"/>
    <s v="F"/>
    <x v="0"/>
    <n v="4"/>
    <x v="0"/>
    <x v="6"/>
    <x v="3"/>
    <x v="3"/>
    <x v="2"/>
  </r>
  <r>
    <s v="TX500533"/>
    <x v="1"/>
    <x v="1"/>
    <n v="37.6"/>
    <n v="75.2"/>
    <d v="2025-01-23T00:00:00"/>
    <d v="2025-01-26T00:00:00"/>
    <s v="F"/>
    <x v="0"/>
    <n v="4"/>
    <x v="0"/>
    <x v="6"/>
    <x v="2"/>
    <x v="3"/>
    <x v="2"/>
  </r>
  <r>
    <s v="TX500534"/>
    <x v="6"/>
    <x v="0"/>
    <n v="42.4"/>
    <n v="42.4"/>
    <d v="2025-01-23T00:00:00"/>
    <d v="2025-01-24T00:00:00"/>
    <s v="F"/>
    <x v="3"/>
    <n v="5"/>
    <x v="0"/>
    <x v="6"/>
    <x v="3"/>
    <x v="3"/>
    <x v="2"/>
  </r>
  <r>
    <s v="TX500535"/>
    <x v="8"/>
    <x v="1"/>
    <n v="19.600000000000001"/>
    <n v="39.200000000000003"/>
    <d v="2025-01-23T00:00:00"/>
    <d v="2025-01-27T00:00:00"/>
    <s v="F"/>
    <x v="2"/>
    <n v="4"/>
    <x v="0"/>
    <x v="7"/>
    <x v="5"/>
    <x v="3"/>
    <x v="2"/>
  </r>
  <r>
    <s v="TX500536"/>
    <x v="9"/>
    <x v="0"/>
    <n v="90.5"/>
    <n v="90.5"/>
    <d v="2025-01-23T00:00:00"/>
    <d v="2025-01-26T00:00:00"/>
    <s v="F"/>
    <x v="2"/>
    <n v="4"/>
    <x v="0"/>
    <x v="7"/>
    <x v="2"/>
    <x v="3"/>
    <x v="2"/>
  </r>
  <r>
    <s v="TX500537"/>
    <x v="16"/>
    <x v="5"/>
    <n v="33.9"/>
    <n v="372.9"/>
    <d v="2025-01-23T00:00:00"/>
    <d v="2025-01-24T00:00:00"/>
    <s v="M"/>
    <x v="2"/>
    <n v="3"/>
    <x v="0"/>
    <x v="7"/>
    <x v="3"/>
    <x v="3"/>
    <x v="1"/>
  </r>
  <r>
    <s v="TX500538"/>
    <x v="0"/>
    <x v="1"/>
    <n v="32.799999999999997"/>
    <n v="65.599999999999994"/>
    <d v="2025-01-23T00:00:00"/>
    <d v="2025-01-25T00:00:00"/>
    <s v="F"/>
    <x v="4"/>
    <n v="2"/>
    <x v="0"/>
    <x v="8"/>
    <x v="1"/>
    <x v="3"/>
    <x v="2"/>
  </r>
  <r>
    <s v="TX500539"/>
    <x v="15"/>
    <x v="0"/>
    <n v="49.9"/>
    <n v="49.9"/>
    <d v="2025-01-23T00:00:00"/>
    <d v="2025-01-24T00:00:00"/>
    <s v="M"/>
    <x v="3"/>
    <n v="3"/>
    <x v="0"/>
    <x v="8"/>
    <x v="3"/>
    <x v="3"/>
    <x v="1"/>
  </r>
  <r>
    <s v="TX500540"/>
    <x v="7"/>
    <x v="9"/>
    <n v="79.2"/>
    <n v="396"/>
    <d v="2025-01-23T00:00:00"/>
    <d v="2025-01-24T00:00:00"/>
    <s v="F"/>
    <x v="4"/>
    <n v="4"/>
    <x v="0"/>
    <x v="8"/>
    <x v="3"/>
    <x v="3"/>
    <x v="2"/>
  </r>
  <r>
    <s v="TX500541"/>
    <x v="8"/>
    <x v="27"/>
    <n v="19.5"/>
    <n v="312"/>
    <d v="2025-01-23T00:00:00"/>
    <d v="2025-01-25T00:00:00"/>
    <s v="M"/>
    <x v="3"/>
    <n v="5"/>
    <x v="0"/>
    <x v="8"/>
    <x v="1"/>
    <x v="3"/>
    <x v="1"/>
  </r>
  <r>
    <s v="TX500542"/>
    <x v="8"/>
    <x v="12"/>
    <n v="18"/>
    <n v="72"/>
    <d v="2025-01-23T00:00:00"/>
    <d v="2025-01-24T00:00:00"/>
    <s v="M"/>
    <x v="1"/>
    <n v="4"/>
    <x v="0"/>
    <x v="10"/>
    <x v="3"/>
    <x v="3"/>
    <x v="1"/>
  </r>
  <r>
    <s v="TX500543"/>
    <x v="9"/>
    <x v="2"/>
    <n v="45.9"/>
    <n v="137.69999999999999"/>
    <d v="2025-01-23T00:00:00"/>
    <d v="2025-01-25T00:00:00"/>
    <s v="F"/>
    <x v="1"/>
    <n v="3"/>
    <x v="0"/>
    <x v="10"/>
    <x v="1"/>
    <x v="3"/>
    <x v="2"/>
  </r>
  <r>
    <s v="TX500544"/>
    <x v="11"/>
    <x v="0"/>
    <n v="41.2"/>
    <n v="41.2"/>
    <d v="2025-01-23T00:00:00"/>
    <d v="2025-01-25T00:00:00"/>
    <s v="F"/>
    <x v="1"/>
    <n v="5"/>
    <x v="0"/>
    <x v="11"/>
    <x v="1"/>
    <x v="3"/>
    <x v="2"/>
  </r>
  <r>
    <s v="TX500545"/>
    <x v="2"/>
    <x v="7"/>
    <n v="167.2"/>
    <n v="1672"/>
    <d v="2025-01-23T00:00:00"/>
    <d v="2025-01-25T00:00:00"/>
    <s v="F"/>
    <x v="2"/>
    <n v="5"/>
    <x v="0"/>
    <x v="32"/>
    <x v="1"/>
    <x v="3"/>
    <x v="2"/>
  </r>
  <r>
    <s v="TX500546"/>
    <x v="6"/>
    <x v="17"/>
    <n v="74.5"/>
    <n v="2235"/>
    <d v="2025-01-24T00:00:00"/>
    <d v="2025-01-27T00:00:00"/>
    <s v="F"/>
    <x v="1"/>
    <n v="5"/>
    <x v="0"/>
    <x v="38"/>
    <x v="2"/>
    <x v="3"/>
    <x v="2"/>
  </r>
  <r>
    <s v="TX500547"/>
    <x v="7"/>
    <x v="12"/>
    <n v="39.299999999999997"/>
    <n v="157.19999999999999"/>
    <d v="2025-01-24T00:00:00"/>
    <d v="2025-01-25T00:00:00"/>
    <s v=""/>
    <x v="2"/>
    <n v="4"/>
    <x v="0"/>
    <x v="19"/>
    <x v="3"/>
    <x v="3"/>
    <x v="0"/>
  </r>
  <r>
    <s v="TX500548"/>
    <x v="9"/>
    <x v="0"/>
    <n v="68.5"/>
    <n v="68.5"/>
    <d v="2025-01-24T00:00:00"/>
    <d v="2025-01-27T00:00:00"/>
    <s v="M"/>
    <x v="1"/>
    <n v="5"/>
    <x v="0"/>
    <x v="12"/>
    <x v="2"/>
    <x v="3"/>
    <x v="1"/>
  </r>
  <r>
    <s v="TX500549"/>
    <x v="0"/>
    <x v="2"/>
    <n v="22.5"/>
    <n v="67.5"/>
    <d v="2025-01-24T00:00:00"/>
    <d v="2025-01-24T00:00:00"/>
    <s v="F"/>
    <x v="4"/>
    <n v="4"/>
    <x v="0"/>
    <x v="13"/>
    <x v="7"/>
    <x v="3"/>
    <x v="2"/>
  </r>
  <r>
    <s v="TX500550"/>
    <x v="1"/>
    <x v="0"/>
    <n v="48"/>
    <n v="48"/>
    <d v="2025-01-24T00:00:00"/>
    <d v="2025-01-25T00:00:00"/>
    <s v="O"/>
    <x v="4"/>
    <n v="3"/>
    <x v="0"/>
    <x v="46"/>
    <x v="3"/>
    <x v="3"/>
    <x v="3"/>
  </r>
  <r>
    <s v="TX500551"/>
    <x v="6"/>
    <x v="0"/>
    <n v="94"/>
    <n v="94"/>
    <d v="2025-01-24T00:00:00"/>
    <d v="2025-01-25T00:00:00"/>
    <s v="M"/>
    <x v="3"/>
    <n v="3"/>
    <x v="0"/>
    <x v="1"/>
    <x v="3"/>
    <x v="3"/>
    <x v="1"/>
  </r>
  <r>
    <s v="TX500552"/>
    <x v="8"/>
    <x v="2"/>
    <n v="21.9"/>
    <n v="65.699999999999989"/>
    <d v="2025-01-24T00:00:00"/>
    <d v="2025-01-25T00:00:00"/>
    <s v="F"/>
    <x v="0"/>
    <n v="4"/>
    <x v="0"/>
    <x v="44"/>
    <x v="3"/>
    <x v="3"/>
    <x v="2"/>
  </r>
  <r>
    <s v="TX500553"/>
    <x v="6"/>
    <x v="3"/>
    <n v="64.900000000000006"/>
    <n v="454.30000000000007"/>
    <d v="2025-01-24T00:00:00"/>
    <d v="2025-01-25T00:00:00"/>
    <s v="F"/>
    <x v="0"/>
    <n v="4"/>
    <x v="0"/>
    <x v="3"/>
    <x v="3"/>
    <x v="3"/>
    <x v="2"/>
  </r>
  <r>
    <s v="TX500554"/>
    <x v="12"/>
    <x v="0"/>
    <n v="52.9"/>
    <n v="52.9"/>
    <d v="2025-01-24T00:00:00"/>
    <d v="2025-01-24T00:00:00"/>
    <s v="F"/>
    <x v="1"/>
    <n v="3"/>
    <x v="0"/>
    <x v="3"/>
    <x v="7"/>
    <x v="3"/>
    <x v="2"/>
  </r>
  <r>
    <s v="TX500555"/>
    <x v="8"/>
    <x v="2"/>
    <n v="25.5"/>
    <n v="76.5"/>
    <d v="2025-01-24T00:00:00"/>
    <d v="2025-01-25T00:00:00"/>
    <s v="F"/>
    <x v="1"/>
    <n v="5"/>
    <x v="0"/>
    <x v="3"/>
    <x v="3"/>
    <x v="3"/>
    <x v="2"/>
  </r>
  <r>
    <s v="TX500556"/>
    <x v="6"/>
    <x v="2"/>
    <n v="51.9"/>
    <n v="155.69999999999999"/>
    <d v="2025-01-24T00:00:00"/>
    <d v="2025-01-25T00:00:00"/>
    <s v="F"/>
    <x v="3"/>
    <n v="4"/>
    <x v="0"/>
    <x v="3"/>
    <x v="3"/>
    <x v="3"/>
    <x v="2"/>
  </r>
  <r>
    <s v="TX500557"/>
    <x v="5"/>
    <x v="0"/>
    <n v="46.3"/>
    <n v="46.3"/>
    <d v="2025-01-24T00:00:00"/>
    <d v="2025-01-27T00:00:00"/>
    <s v="F"/>
    <x v="4"/>
    <n v="4"/>
    <x v="0"/>
    <x v="3"/>
    <x v="2"/>
    <x v="3"/>
    <x v="2"/>
  </r>
  <r>
    <s v="TX500558"/>
    <x v="6"/>
    <x v="1"/>
    <n v="68.2"/>
    <n v="136.4"/>
    <d v="2025-01-24T00:00:00"/>
    <d v="2025-01-26T00:00:00"/>
    <s v="F"/>
    <x v="3"/>
    <n v="4"/>
    <x v="0"/>
    <x v="3"/>
    <x v="1"/>
    <x v="3"/>
    <x v="2"/>
  </r>
  <r>
    <s v="TX500559"/>
    <x v="1"/>
    <x v="0"/>
    <n v="40.299999999999997"/>
    <n v="40.299999999999997"/>
    <d v="2025-01-24T00:00:00"/>
    <d v="2025-01-25T00:00:00"/>
    <s v="M"/>
    <x v="0"/>
    <n v="3"/>
    <x v="0"/>
    <x v="3"/>
    <x v="3"/>
    <x v="3"/>
    <x v="1"/>
  </r>
  <r>
    <s v="TX500560"/>
    <x v="2"/>
    <x v="2"/>
    <n v="91.3"/>
    <n v="273.89999999999998"/>
    <d v="2025-01-24T00:00:00"/>
    <d v="2025-01-29T00:00:00"/>
    <s v="M"/>
    <x v="0"/>
    <n v="5"/>
    <x v="0"/>
    <x v="6"/>
    <x v="0"/>
    <x v="3"/>
    <x v="1"/>
  </r>
  <r>
    <s v="TX500561"/>
    <x v="0"/>
    <x v="2"/>
    <n v="11.9"/>
    <n v="35.700000000000003"/>
    <d v="2025-01-24T00:00:00"/>
    <d v="2025-01-25T00:00:00"/>
    <s v="F"/>
    <x v="0"/>
    <n v="3"/>
    <x v="0"/>
    <x v="6"/>
    <x v="3"/>
    <x v="3"/>
    <x v="2"/>
  </r>
  <r>
    <s v="TX500562"/>
    <x v="2"/>
    <x v="1"/>
    <n v="63.5"/>
    <n v="127"/>
    <d v="2025-01-24T00:00:00"/>
    <d v="2025-01-26T00:00:00"/>
    <s v="M"/>
    <x v="1"/>
    <n v="4"/>
    <x v="0"/>
    <x v="6"/>
    <x v="1"/>
    <x v="3"/>
    <x v="1"/>
  </r>
  <r>
    <s v="TX500563"/>
    <x v="4"/>
    <x v="1"/>
    <n v="27.1"/>
    <n v="54.2"/>
    <d v="2025-01-24T00:00:00"/>
    <d v="2025-01-27T00:00:00"/>
    <s v="M"/>
    <x v="2"/>
    <n v="5"/>
    <x v="0"/>
    <x v="6"/>
    <x v="2"/>
    <x v="3"/>
    <x v="1"/>
  </r>
  <r>
    <s v="TX500564"/>
    <x v="1"/>
    <x v="1"/>
    <n v="82.1"/>
    <n v="164.2"/>
    <d v="2025-01-25T00:00:00"/>
    <d v="2025-01-28T00:00:00"/>
    <s v="M"/>
    <x v="1"/>
    <n v="3"/>
    <x v="0"/>
    <x v="7"/>
    <x v="2"/>
    <x v="3"/>
    <x v="1"/>
  </r>
  <r>
    <s v="TX500565"/>
    <x v="3"/>
    <x v="9"/>
    <n v="42.9"/>
    <n v="214.5"/>
    <d v="2025-01-25T00:00:00"/>
    <d v="2025-01-27T00:00:00"/>
    <s v="F"/>
    <x v="1"/>
    <n v="4"/>
    <x v="0"/>
    <x v="8"/>
    <x v="1"/>
    <x v="3"/>
    <x v="2"/>
  </r>
  <r>
    <s v="TX500566"/>
    <x v="8"/>
    <x v="5"/>
    <n v="37.9"/>
    <n v="416.9"/>
    <d v="2025-01-25T00:00:00"/>
    <d v="2025-02-01T00:00:00"/>
    <s v="M"/>
    <x v="0"/>
    <n v="4"/>
    <x v="0"/>
    <x v="8"/>
    <x v="6"/>
    <x v="3"/>
    <x v="1"/>
  </r>
  <r>
    <s v="TX500567"/>
    <x v="0"/>
    <x v="0"/>
    <n v="22.4"/>
    <n v="22.4"/>
    <d v="2025-01-25T00:00:00"/>
    <d v="2025-01-26T00:00:00"/>
    <s v="F"/>
    <x v="0"/>
    <n v="3"/>
    <x v="0"/>
    <x v="17"/>
    <x v="3"/>
    <x v="3"/>
    <x v="2"/>
  </r>
  <r>
    <s v="TX500568"/>
    <x v="2"/>
    <x v="15"/>
    <n v="79.900000000000006"/>
    <n v="1038.7"/>
    <d v="2025-01-25T00:00:00"/>
    <d v="2025-02-07T00:00:00"/>
    <s v="F"/>
    <x v="3"/>
    <n v="3"/>
    <x v="0"/>
    <x v="11"/>
    <x v="10"/>
    <x v="3"/>
    <x v="2"/>
  </r>
  <r>
    <s v="TX500569"/>
    <x v="1"/>
    <x v="0"/>
    <n v="70.599999999999994"/>
    <n v="70.599999999999994"/>
    <d v="2025-01-25T00:00:00"/>
    <d v="2025-01-28T00:00:00"/>
    <s v="F"/>
    <x v="0"/>
    <n v="3"/>
    <x v="0"/>
    <x v="11"/>
    <x v="2"/>
    <x v="3"/>
    <x v="2"/>
  </r>
  <r>
    <s v="TX500570"/>
    <x v="6"/>
    <x v="0"/>
    <n v="49.5"/>
    <n v="49.5"/>
    <d v="2025-01-25T00:00:00"/>
    <d v="2025-01-27T00:00:00"/>
    <s v="M"/>
    <x v="0"/>
    <n v="4"/>
    <x v="0"/>
    <x v="13"/>
    <x v="1"/>
    <x v="3"/>
    <x v="1"/>
  </r>
  <r>
    <s v="TX500571"/>
    <x v="2"/>
    <x v="1"/>
    <n v="96.6"/>
    <n v="193.2"/>
    <d v="2025-01-25T00:00:00"/>
    <d v="2025-01-27T00:00:00"/>
    <s v="M"/>
    <x v="0"/>
    <n v="4"/>
    <x v="0"/>
    <x v="21"/>
    <x v="1"/>
    <x v="3"/>
    <x v="1"/>
  </r>
  <r>
    <s v="TX500572"/>
    <x v="6"/>
    <x v="1"/>
    <n v="52.8"/>
    <n v="105.6"/>
    <d v="2025-01-25T00:00:00"/>
    <d v="2025-01-26T00:00:00"/>
    <s v="F"/>
    <x v="1"/>
    <n v="3"/>
    <x v="0"/>
    <x v="21"/>
    <x v="3"/>
    <x v="3"/>
    <x v="2"/>
  </r>
  <r>
    <s v="TX500573"/>
    <x v="2"/>
    <x v="0"/>
    <n v="101.7"/>
    <n v="101.7"/>
    <d v="2025-01-25T00:00:00"/>
    <d v="2025-01-26T00:00:00"/>
    <s v="M"/>
    <x v="0"/>
    <n v="4"/>
    <x v="0"/>
    <x v="1"/>
    <x v="3"/>
    <x v="3"/>
    <x v="1"/>
  </r>
  <r>
    <s v="TX500574"/>
    <x v="4"/>
    <x v="9"/>
    <n v="26.9"/>
    <n v="134.5"/>
    <d v="2025-01-25T00:00:00"/>
    <d v="2025-01-30T00:00:00"/>
    <s v="F"/>
    <x v="1"/>
    <n v="3"/>
    <x v="0"/>
    <x v="22"/>
    <x v="0"/>
    <x v="3"/>
    <x v="2"/>
  </r>
  <r>
    <s v="TX500575"/>
    <x v="2"/>
    <x v="12"/>
    <n v="211"/>
    <n v="844"/>
    <d v="2025-01-25T00:00:00"/>
    <d v="2025-01-25T00:00:00"/>
    <s v="F"/>
    <x v="1"/>
    <n v="3"/>
    <x v="0"/>
    <x v="3"/>
    <x v="7"/>
    <x v="3"/>
    <x v="2"/>
  </r>
  <r>
    <s v="TX500576"/>
    <x v="0"/>
    <x v="12"/>
    <n v="21.1"/>
    <n v="84.4"/>
    <d v="2025-01-25T00:00:00"/>
    <d v="2025-01-28T00:00:00"/>
    <s v="M"/>
    <x v="4"/>
    <n v="4"/>
    <x v="0"/>
    <x v="3"/>
    <x v="2"/>
    <x v="3"/>
    <x v="1"/>
  </r>
  <r>
    <s v="TX500577"/>
    <x v="10"/>
    <x v="0"/>
    <n v="26.6"/>
    <n v="26.6"/>
    <d v="2025-01-25T00:00:00"/>
    <d v="2025-01-27T00:00:00"/>
    <s v="M"/>
    <x v="0"/>
    <n v="2"/>
    <x v="0"/>
    <x v="3"/>
    <x v="1"/>
    <x v="3"/>
    <x v="1"/>
  </r>
  <r>
    <s v="TX500578"/>
    <x v="12"/>
    <x v="12"/>
    <n v="51.2"/>
    <n v="204.8"/>
    <d v="2025-01-25T00:00:00"/>
    <d v="2025-01-26T00:00:00"/>
    <s v="F"/>
    <x v="3"/>
    <n v="4"/>
    <x v="0"/>
    <x v="47"/>
    <x v="3"/>
    <x v="3"/>
    <x v="2"/>
  </r>
  <r>
    <s v="TX500579"/>
    <x v="0"/>
    <x v="9"/>
    <n v="10.6"/>
    <n v="53"/>
    <d v="2025-01-25T00:00:00"/>
    <d v="2025-01-29T00:00:00"/>
    <s v="F"/>
    <x v="0"/>
    <n v="4"/>
    <x v="0"/>
    <x v="8"/>
    <x v="5"/>
    <x v="3"/>
    <x v="2"/>
  </r>
  <r>
    <s v="TX500580"/>
    <x v="6"/>
    <x v="2"/>
    <n v="43.4"/>
    <n v="130.19999999999999"/>
    <d v="2025-01-25T00:00:00"/>
    <d v="2025-01-28T00:00:00"/>
    <s v="F"/>
    <x v="4"/>
    <n v="4"/>
    <x v="0"/>
    <x v="8"/>
    <x v="2"/>
    <x v="3"/>
    <x v="2"/>
  </r>
  <r>
    <s v="TX500581"/>
    <x v="12"/>
    <x v="0"/>
    <n v="80"/>
    <n v="80"/>
    <d v="2025-01-25T00:00:00"/>
    <d v="2025-01-25T00:00:00"/>
    <s v="F"/>
    <x v="0"/>
    <n v="5"/>
    <x v="0"/>
    <x v="8"/>
    <x v="7"/>
    <x v="3"/>
    <x v="2"/>
  </r>
  <r>
    <s v="TX500582"/>
    <x v="10"/>
    <x v="12"/>
    <n v="64.7"/>
    <n v="258.8"/>
    <d v="2025-01-25T00:00:00"/>
    <d v="2025-01-27T00:00:00"/>
    <s v="F"/>
    <x v="1"/>
    <n v="2"/>
    <x v="0"/>
    <x v="8"/>
    <x v="1"/>
    <x v="3"/>
    <x v="2"/>
  </r>
  <r>
    <s v="TX500583"/>
    <x v="8"/>
    <x v="5"/>
    <n v="26.3"/>
    <n v="289.3"/>
    <d v="2025-01-26T00:00:00"/>
    <d v="2025-01-26T00:00:00"/>
    <s v="F"/>
    <x v="4"/>
    <n v="3"/>
    <x v="0"/>
    <x v="26"/>
    <x v="7"/>
    <x v="4"/>
    <x v="2"/>
  </r>
  <r>
    <s v="TX500584"/>
    <x v="10"/>
    <x v="0"/>
    <n v="28.5"/>
    <n v="28.5"/>
    <d v="2025-01-26T00:00:00"/>
    <d v="2025-01-26T00:00:00"/>
    <s v="M"/>
    <x v="0"/>
    <n v="3"/>
    <x v="0"/>
    <x v="9"/>
    <x v="7"/>
    <x v="4"/>
    <x v="1"/>
  </r>
  <r>
    <s v="TX500585"/>
    <x v="17"/>
    <x v="0"/>
    <n v="47.8"/>
    <n v="47.8"/>
    <d v="2025-01-26T00:00:00"/>
    <d v="2025-01-28T00:00:00"/>
    <s v="F"/>
    <x v="0"/>
    <n v="3"/>
    <x v="0"/>
    <x v="9"/>
    <x v="1"/>
    <x v="4"/>
    <x v="2"/>
  </r>
  <r>
    <s v="TX500586"/>
    <x v="10"/>
    <x v="2"/>
    <n v="42.8"/>
    <n v="128.39999999999998"/>
    <d v="2025-01-26T00:00:00"/>
    <d v="2025-01-29T00:00:00"/>
    <s v="F"/>
    <x v="4"/>
    <n v="3"/>
    <x v="0"/>
    <x v="11"/>
    <x v="2"/>
    <x v="4"/>
    <x v="2"/>
  </r>
  <r>
    <s v="TX500587"/>
    <x v="6"/>
    <x v="9"/>
    <n v="46.8"/>
    <n v="234"/>
    <d v="2025-01-26T00:00:00"/>
    <d v="2025-01-31T00:00:00"/>
    <s v="F"/>
    <x v="1"/>
    <n v="5"/>
    <x v="0"/>
    <x v="11"/>
    <x v="0"/>
    <x v="4"/>
    <x v="2"/>
  </r>
  <r>
    <s v="TX500588"/>
    <x v="1"/>
    <x v="7"/>
    <n v="64.099999999999994"/>
    <n v="641"/>
    <d v="2025-01-26T00:00:00"/>
    <d v="2025-01-27T00:00:00"/>
    <s v="M"/>
    <x v="1"/>
    <n v="4"/>
    <x v="0"/>
    <x v="11"/>
    <x v="3"/>
    <x v="4"/>
    <x v="1"/>
  </r>
  <r>
    <s v="TX500589"/>
    <x v="2"/>
    <x v="0"/>
    <n v="89.1"/>
    <n v="89.1"/>
    <d v="2025-01-26T00:00:00"/>
    <d v="2025-01-27T00:00:00"/>
    <s v="F"/>
    <x v="0"/>
    <n v="3"/>
    <x v="0"/>
    <x v="20"/>
    <x v="3"/>
    <x v="4"/>
    <x v="2"/>
  </r>
  <r>
    <s v="TX500590"/>
    <x v="2"/>
    <x v="2"/>
    <n v="83.1"/>
    <n v="249.29999999999998"/>
    <d v="2025-01-26T00:00:00"/>
    <d v="2025-01-27T00:00:00"/>
    <s v="F"/>
    <x v="2"/>
    <n v="3"/>
    <x v="0"/>
    <x v="13"/>
    <x v="3"/>
    <x v="4"/>
    <x v="2"/>
  </r>
  <r>
    <s v="TX500591"/>
    <x v="8"/>
    <x v="2"/>
    <n v="40.9"/>
    <n v="122.69999999999999"/>
    <d v="2025-01-26T00:00:00"/>
    <d v="2025-01-27T00:00:00"/>
    <s v="M"/>
    <x v="0"/>
    <n v="4"/>
    <x v="0"/>
    <x v="1"/>
    <x v="3"/>
    <x v="4"/>
    <x v="1"/>
  </r>
  <r>
    <s v="TX500592"/>
    <x v="2"/>
    <x v="1"/>
    <n v="125.7"/>
    <n v="251.4"/>
    <d v="2025-01-26T00:00:00"/>
    <d v="2025-01-27T00:00:00"/>
    <s v="F"/>
    <x v="3"/>
    <n v="4"/>
    <x v="0"/>
    <x v="2"/>
    <x v="3"/>
    <x v="4"/>
    <x v="2"/>
  </r>
  <r>
    <s v="TX500593"/>
    <x v="3"/>
    <x v="1"/>
    <n v="30.9"/>
    <n v="61.8"/>
    <d v="2025-01-26T00:00:00"/>
    <d v="2025-01-26T00:00:00"/>
    <s v="F"/>
    <x v="2"/>
    <n v="5"/>
    <x v="0"/>
    <x v="22"/>
    <x v="7"/>
    <x v="4"/>
    <x v="2"/>
  </r>
  <r>
    <s v="TX500594"/>
    <x v="8"/>
    <x v="1"/>
    <n v="18.3"/>
    <n v="36.6"/>
    <d v="2025-01-26T00:00:00"/>
    <d v="2025-01-27T00:00:00"/>
    <s v="F"/>
    <x v="1"/>
    <n v="4"/>
    <x v="0"/>
    <x v="3"/>
    <x v="3"/>
    <x v="4"/>
    <x v="2"/>
  </r>
  <r>
    <s v="TX500595"/>
    <x v="4"/>
    <x v="1"/>
    <n v="56.5"/>
    <n v="113"/>
    <d v="2025-01-26T00:00:00"/>
    <d v="2025-01-30T00:00:00"/>
    <s v="M"/>
    <x v="2"/>
    <n v="5"/>
    <x v="0"/>
    <x v="3"/>
    <x v="5"/>
    <x v="4"/>
    <x v="1"/>
  </r>
  <r>
    <s v="TX500596"/>
    <x v="10"/>
    <x v="3"/>
    <n v="29.9"/>
    <n v="209.29999999999998"/>
    <d v="2025-01-26T00:00:00"/>
    <d v="2025-01-28T00:00:00"/>
    <s v="M"/>
    <x v="4"/>
    <n v="5"/>
    <x v="0"/>
    <x v="3"/>
    <x v="1"/>
    <x v="4"/>
    <x v="1"/>
  </r>
  <r>
    <s v="TX500597"/>
    <x v="5"/>
    <x v="1"/>
    <n v="50.4"/>
    <n v="100.8"/>
    <d v="2025-01-26T00:00:00"/>
    <d v="2025-01-27T00:00:00"/>
    <s v="F"/>
    <x v="2"/>
    <n v="4"/>
    <x v="0"/>
    <x v="3"/>
    <x v="3"/>
    <x v="4"/>
    <x v="2"/>
  </r>
  <r>
    <s v="TX500598"/>
    <x v="2"/>
    <x v="0"/>
    <n v="85.8"/>
    <n v="85.8"/>
    <d v="2025-01-26T00:00:00"/>
    <d v="2025-01-26T00:00:00"/>
    <s v="F"/>
    <x v="2"/>
    <n v="5"/>
    <x v="0"/>
    <x v="3"/>
    <x v="7"/>
    <x v="4"/>
    <x v="2"/>
  </r>
  <r>
    <s v="TX500599"/>
    <x v="4"/>
    <x v="27"/>
    <n v="66.599999999999994"/>
    <n v="1065.5999999999999"/>
    <d v="2025-01-26T00:00:00"/>
    <d v="2025-01-28T00:00:00"/>
    <s v="M"/>
    <x v="1"/>
    <n v="4"/>
    <x v="0"/>
    <x v="3"/>
    <x v="1"/>
    <x v="4"/>
    <x v="1"/>
  </r>
  <r>
    <s v="TX500600"/>
    <x v="6"/>
    <x v="12"/>
    <n v="70.3"/>
    <n v="281.2"/>
    <d v="2025-01-26T00:00:00"/>
    <d v="2025-01-27T00:00:00"/>
    <s v="F"/>
    <x v="0"/>
    <n v="3"/>
    <x v="0"/>
    <x v="3"/>
    <x v="3"/>
    <x v="4"/>
    <x v="2"/>
  </r>
  <r>
    <s v="TX500601"/>
    <x v="8"/>
    <x v="12"/>
    <n v="31"/>
    <n v="124"/>
    <d v="2025-01-26T00:00:00"/>
    <d v="2025-01-29T00:00:00"/>
    <s v="M"/>
    <x v="0"/>
    <n v="5"/>
    <x v="0"/>
    <x v="3"/>
    <x v="2"/>
    <x v="4"/>
    <x v="1"/>
  </r>
  <r>
    <s v="TX500602"/>
    <x v="7"/>
    <x v="13"/>
    <n v="81.599999999999994"/>
    <n v="489.59999999999997"/>
    <d v="2025-01-26T00:00:00"/>
    <d v="2025-01-27T00:00:00"/>
    <s v="F"/>
    <x v="1"/>
    <n v="3"/>
    <x v="0"/>
    <x v="37"/>
    <x v="3"/>
    <x v="4"/>
    <x v="2"/>
  </r>
  <r>
    <s v="TX500603"/>
    <x v="1"/>
    <x v="30"/>
    <n v="58.3"/>
    <n v="1457.5"/>
    <d v="2025-01-26T00:00:00"/>
    <d v="2025-01-27T00:00:00"/>
    <s v="F"/>
    <x v="0"/>
    <n v="4"/>
    <x v="0"/>
    <x v="16"/>
    <x v="3"/>
    <x v="4"/>
    <x v="2"/>
  </r>
  <r>
    <s v="TX500604"/>
    <x v="1"/>
    <x v="12"/>
    <n v="35.1"/>
    <n v="140.4"/>
    <d v="2025-01-26T00:00:00"/>
    <d v="2025-01-28T00:00:00"/>
    <s v="M"/>
    <x v="0"/>
    <n v="5"/>
    <x v="0"/>
    <x v="8"/>
    <x v="1"/>
    <x v="4"/>
    <x v="1"/>
  </r>
  <r>
    <s v="TX500605"/>
    <x v="2"/>
    <x v="0"/>
    <n v="80.2"/>
    <n v="80.2"/>
    <d v="2025-01-26T00:00:00"/>
    <d v="2025-01-27T00:00:00"/>
    <s v="M"/>
    <x v="3"/>
    <n v="5"/>
    <x v="0"/>
    <x v="8"/>
    <x v="3"/>
    <x v="4"/>
    <x v="1"/>
  </r>
  <r>
    <s v="TX500606"/>
    <x v="14"/>
    <x v="2"/>
    <n v="39.200000000000003"/>
    <n v="117.60000000000001"/>
    <d v="2025-01-26T00:00:00"/>
    <d v="2025-01-28T00:00:00"/>
    <s v="F"/>
    <x v="1"/>
    <n v="4"/>
    <x v="0"/>
    <x v="9"/>
    <x v="1"/>
    <x v="4"/>
    <x v="2"/>
  </r>
  <r>
    <s v="TX500607"/>
    <x v="0"/>
    <x v="1"/>
    <n v="15.4"/>
    <n v="30.8"/>
    <d v="2025-01-26T00:00:00"/>
    <d v="2025-01-26T00:00:00"/>
    <s v="F"/>
    <x v="3"/>
    <n v="4"/>
    <x v="0"/>
    <x v="48"/>
    <x v="7"/>
    <x v="4"/>
    <x v="2"/>
  </r>
  <r>
    <s v="TX500608"/>
    <x v="3"/>
    <x v="2"/>
    <n v="65.400000000000006"/>
    <n v="196.20000000000002"/>
    <d v="2025-01-26T00:00:00"/>
    <d v="2025-01-29T00:00:00"/>
    <s v="M"/>
    <x v="3"/>
    <n v="4"/>
    <x v="0"/>
    <x v="18"/>
    <x v="2"/>
    <x v="4"/>
    <x v="1"/>
  </r>
  <r>
    <s v="TX500609"/>
    <x v="1"/>
    <x v="8"/>
    <n v="63.2"/>
    <n v="505.6"/>
    <d v="2025-01-26T00:00:00"/>
    <d v="2025-01-28T00:00:00"/>
    <s v="F"/>
    <x v="1"/>
    <n v="4"/>
    <x v="0"/>
    <x v="19"/>
    <x v="1"/>
    <x v="4"/>
    <x v="2"/>
  </r>
  <r>
    <s v="TX500610"/>
    <x v="1"/>
    <x v="13"/>
    <n v="35.700000000000003"/>
    <n v="214.20000000000002"/>
    <d v="2025-01-26T00:00:00"/>
    <d v="2025-01-30T00:00:00"/>
    <s v="F"/>
    <x v="4"/>
    <n v="3"/>
    <x v="0"/>
    <x v="19"/>
    <x v="5"/>
    <x v="4"/>
    <x v="2"/>
  </r>
  <r>
    <s v="TX500611"/>
    <x v="0"/>
    <x v="28"/>
    <n v="26.2"/>
    <n v="524"/>
    <d v="2025-01-26T00:00:00"/>
    <d v="2025-01-27T00:00:00"/>
    <s v="F"/>
    <x v="3"/>
    <n v="4"/>
    <x v="0"/>
    <x v="21"/>
    <x v="3"/>
    <x v="4"/>
    <x v="2"/>
  </r>
  <r>
    <s v="TX500612"/>
    <x v="7"/>
    <x v="1"/>
    <n v="31"/>
    <n v="62"/>
    <d v="2025-01-26T00:00:00"/>
    <d v="2025-01-27T00:00:00"/>
    <s v="F"/>
    <x v="0"/>
    <n v="5"/>
    <x v="0"/>
    <x v="1"/>
    <x v="3"/>
    <x v="4"/>
    <x v="2"/>
  </r>
  <r>
    <s v="TX500613"/>
    <x v="8"/>
    <x v="12"/>
    <n v="37.700000000000003"/>
    <n v="150.80000000000001"/>
    <d v="2025-01-26T00:00:00"/>
    <d v="2025-01-27T00:00:00"/>
    <s v="F"/>
    <x v="1"/>
    <n v="4"/>
    <x v="0"/>
    <x v="22"/>
    <x v="3"/>
    <x v="4"/>
    <x v="2"/>
  </r>
  <r>
    <s v="TX500614"/>
    <x v="10"/>
    <x v="33"/>
    <n v="43.6"/>
    <n v="1482.4"/>
    <d v="2025-01-26T00:00:00"/>
    <d v="2025-01-28T00:00:00"/>
    <s v="F"/>
    <x v="4"/>
    <n v="3"/>
    <x v="0"/>
    <x v="3"/>
    <x v="1"/>
    <x v="4"/>
    <x v="2"/>
  </r>
  <r>
    <s v="TX500615"/>
    <x v="9"/>
    <x v="12"/>
    <n v="26.5"/>
    <n v="106"/>
    <d v="2025-01-26T00:00:00"/>
    <d v="2025-01-28T00:00:00"/>
    <s v="M"/>
    <x v="0"/>
    <n v="2"/>
    <x v="0"/>
    <x v="3"/>
    <x v="1"/>
    <x v="4"/>
    <x v="1"/>
  </r>
  <r>
    <s v="TX500616"/>
    <x v="0"/>
    <x v="1"/>
    <n v="34.6"/>
    <n v="69.2"/>
    <d v="2025-01-26T00:00:00"/>
    <d v="2025-01-27T00:00:00"/>
    <s v="M"/>
    <x v="4"/>
    <n v="3"/>
    <x v="0"/>
    <x v="3"/>
    <x v="3"/>
    <x v="4"/>
    <x v="1"/>
  </r>
  <r>
    <s v="TX500617"/>
    <x v="8"/>
    <x v="1"/>
    <n v="58.2"/>
    <n v="116.4"/>
    <d v="2025-01-26T00:00:00"/>
    <d v="2025-01-27T00:00:00"/>
    <s v="M"/>
    <x v="2"/>
    <n v="5"/>
    <x v="0"/>
    <x v="3"/>
    <x v="3"/>
    <x v="4"/>
    <x v="1"/>
  </r>
  <r>
    <s v="TX500618"/>
    <x v="7"/>
    <x v="0"/>
    <n v="30.2"/>
    <n v="30.2"/>
    <d v="2025-01-27T00:00:00"/>
    <d v="2025-01-28T00:00:00"/>
    <s v="F"/>
    <x v="2"/>
    <n v="3"/>
    <x v="0"/>
    <x v="3"/>
    <x v="3"/>
    <x v="4"/>
    <x v="2"/>
  </r>
  <r>
    <s v="TX500619"/>
    <x v="1"/>
    <x v="7"/>
    <n v="53.2"/>
    <n v="532"/>
    <d v="2025-01-27T00:00:00"/>
    <d v="2025-01-28T00:00:00"/>
    <s v="M"/>
    <x v="0"/>
    <n v="5"/>
    <x v="0"/>
    <x v="5"/>
    <x v="3"/>
    <x v="4"/>
    <x v="1"/>
  </r>
  <r>
    <s v="TX500620"/>
    <x v="12"/>
    <x v="13"/>
    <n v="51.1"/>
    <n v="306.60000000000002"/>
    <d v="2025-01-27T00:00:00"/>
    <d v="2025-01-27T00:00:00"/>
    <s v="M"/>
    <x v="1"/>
    <n v="5"/>
    <x v="0"/>
    <x v="5"/>
    <x v="7"/>
    <x v="4"/>
    <x v="1"/>
  </r>
  <r>
    <s v="TX500621"/>
    <x v="1"/>
    <x v="0"/>
    <n v="105.4"/>
    <n v="105.4"/>
    <d v="2025-01-27T00:00:00"/>
    <d v="2025-01-31T00:00:00"/>
    <s v="F"/>
    <x v="1"/>
    <n v="5"/>
    <x v="0"/>
    <x v="23"/>
    <x v="5"/>
    <x v="4"/>
    <x v="2"/>
  </r>
  <r>
    <s v="TX500622"/>
    <x v="7"/>
    <x v="0"/>
    <n v="57.7"/>
    <n v="57.7"/>
    <d v="2025-01-27T00:00:00"/>
    <d v="2025-01-27T00:00:00"/>
    <s v="M"/>
    <x v="0"/>
    <n v="2"/>
    <x v="0"/>
    <x v="8"/>
    <x v="7"/>
    <x v="4"/>
    <x v="1"/>
  </r>
  <r>
    <s v="TX500623"/>
    <x v="15"/>
    <x v="1"/>
    <n v="72.400000000000006"/>
    <n v="144.80000000000001"/>
    <d v="2025-01-27T00:00:00"/>
    <d v="2025-02-01T00:00:00"/>
    <s v="F"/>
    <x v="0"/>
    <n v="4"/>
    <x v="0"/>
    <x v="17"/>
    <x v="0"/>
    <x v="4"/>
    <x v="2"/>
  </r>
  <r>
    <s v="TX500624"/>
    <x v="6"/>
    <x v="1"/>
    <n v="62.5"/>
    <n v="125"/>
    <d v="2025-01-27T00:00:00"/>
    <d v="2025-01-28T00:00:00"/>
    <s v=""/>
    <x v="0"/>
    <n v="5"/>
    <x v="0"/>
    <x v="11"/>
    <x v="3"/>
    <x v="4"/>
    <x v="0"/>
  </r>
  <r>
    <s v="TX500625"/>
    <x v="0"/>
    <x v="32"/>
    <n v="11.6"/>
    <n v="255.2"/>
    <d v="2025-01-27T00:00:00"/>
    <d v="2025-01-29T00:00:00"/>
    <s v="F"/>
    <x v="3"/>
    <n v="5"/>
    <x v="0"/>
    <x v="18"/>
    <x v="1"/>
    <x v="4"/>
    <x v="2"/>
  </r>
  <r>
    <s v="TX500626"/>
    <x v="10"/>
    <x v="7"/>
    <n v="39.6"/>
    <n v="396"/>
    <d v="2025-01-27T00:00:00"/>
    <d v="2025-01-29T00:00:00"/>
    <s v="F"/>
    <x v="2"/>
    <n v="5"/>
    <x v="0"/>
    <x v="18"/>
    <x v="1"/>
    <x v="4"/>
    <x v="2"/>
  </r>
  <r>
    <s v="TX500627"/>
    <x v="8"/>
    <x v="1"/>
    <n v="40.1"/>
    <n v="80.2"/>
    <d v="2025-01-27T00:00:00"/>
    <d v="2025-01-28T00:00:00"/>
    <s v="F"/>
    <x v="2"/>
    <n v="4"/>
    <x v="0"/>
    <x v="18"/>
    <x v="3"/>
    <x v="4"/>
    <x v="2"/>
  </r>
  <r>
    <s v="TX500628"/>
    <x v="8"/>
    <x v="2"/>
    <n v="18.600000000000001"/>
    <n v="55.800000000000004"/>
    <d v="2025-01-27T00:00:00"/>
    <d v="2025-01-28T00:00:00"/>
    <s v="F"/>
    <x v="2"/>
    <n v="4"/>
    <x v="0"/>
    <x v="21"/>
    <x v="3"/>
    <x v="4"/>
    <x v="2"/>
  </r>
  <r>
    <s v="TX500629"/>
    <x v="4"/>
    <x v="0"/>
    <n v="58.8"/>
    <n v="58.8"/>
    <d v="2025-01-27T00:00:00"/>
    <d v="2025-01-29T00:00:00"/>
    <s v="F"/>
    <x v="0"/>
    <n v="3"/>
    <x v="0"/>
    <x v="21"/>
    <x v="1"/>
    <x v="4"/>
    <x v="2"/>
  </r>
  <r>
    <s v="TX500630"/>
    <x v="8"/>
    <x v="1"/>
    <n v="22.1"/>
    <n v="44.2"/>
    <d v="2025-01-27T00:00:00"/>
    <d v="2025-01-30T00:00:00"/>
    <s v="M"/>
    <x v="1"/>
    <n v="5"/>
    <x v="0"/>
    <x v="21"/>
    <x v="2"/>
    <x v="4"/>
    <x v="1"/>
  </r>
  <r>
    <s v="TX500631"/>
    <x v="2"/>
    <x v="0"/>
    <n v="114.9"/>
    <n v="114.9"/>
    <d v="2025-01-28T00:00:00"/>
    <d v="2025-01-29T00:00:00"/>
    <s v="F"/>
    <x v="1"/>
    <n v="3"/>
    <x v="0"/>
    <x v="22"/>
    <x v="3"/>
    <x v="4"/>
    <x v="2"/>
  </r>
  <r>
    <s v="TX500632"/>
    <x v="9"/>
    <x v="9"/>
    <n v="75.8"/>
    <n v="379"/>
    <d v="2025-01-28T00:00:00"/>
    <d v="2025-01-29T00:00:00"/>
    <s v="M"/>
    <x v="0"/>
    <n v="5"/>
    <x v="0"/>
    <x v="3"/>
    <x v="3"/>
    <x v="4"/>
    <x v="1"/>
  </r>
  <r>
    <s v="TX500633"/>
    <x v="14"/>
    <x v="9"/>
    <n v="20.6"/>
    <n v="103"/>
    <d v="2025-01-28T00:00:00"/>
    <d v="2025-01-29T00:00:00"/>
    <s v="M"/>
    <x v="2"/>
    <n v="5"/>
    <x v="0"/>
    <x v="3"/>
    <x v="3"/>
    <x v="4"/>
    <x v="1"/>
  </r>
  <r>
    <s v="TX500634"/>
    <x v="17"/>
    <x v="2"/>
    <n v="67.900000000000006"/>
    <n v="203.70000000000002"/>
    <d v="2025-01-28T00:00:00"/>
    <d v="2025-01-29T00:00:00"/>
    <s v="F"/>
    <x v="1"/>
    <n v="3"/>
    <x v="0"/>
    <x v="3"/>
    <x v="3"/>
    <x v="4"/>
    <x v="2"/>
  </r>
  <r>
    <s v="TX500635"/>
    <x v="0"/>
    <x v="9"/>
    <n v="27"/>
    <n v="135"/>
    <d v="2025-01-28T00:00:00"/>
    <d v="2025-02-04T00:00:00"/>
    <s v="F"/>
    <x v="0"/>
    <n v="5"/>
    <x v="0"/>
    <x v="3"/>
    <x v="6"/>
    <x v="4"/>
    <x v="2"/>
  </r>
  <r>
    <s v="TX500636"/>
    <x v="13"/>
    <x v="0"/>
    <n v="50.6"/>
    <n v="50.6"/>
    <d v="2025-01-28T00:00:00"/>
    <d v="2025-01-28T00:00:00"/>
    <s v="M"/>
    <x v="0"/>
    <n v="3"/>
    <x v="0"/>
    <x v="3"/>
    <x v="7"/>
    <x v="4"/>
    <x v="1"/>
  </r>
  <r>
    <s v="TX500637"/>
    <x v="4"/>
    <x v="9"/>
    <n v="22.1"/>
    <n v="110.5"/>
    <d v="2025-01-28T00:00:00"/>
    <d v="2025-02-02T00:00:00"/>
    <s v="M"/>
    <x v="0"/>
    <n v="4"/>
    <x v="0"/>
    <x v="3"/>
    <x v="0"/>
    <x v="4"/>
    <x v="1"/>
  </r>
  <r>
    <s v="TX500638"/>
    <x v="8"/>
    <x v="2"/>
    <n v="42.9"/>
    <n v="128.69999999999999"/>
    <d v="2025-01-28T00:00:00"/>
    <d v="2025-01-30T00:00:00"/>
    <s v="F"/>
    <x v="0"/>
    <n v="4"/>
    <x v="0"/>
    <x v="3"/>
    <x v="1"/>
    <x v="4"/>
    <x v="2"/>
  </r>
  <r>
    <s v="TX500639"/>
    <x v="1"/>
    <x v="5"/>
    <n v="62.4"/>
    <n v="686.4"/>
    <d v="2025-01-28T00:00:00"/>
    <d v="2025-01-30T00:00:00"/>
    <s v="F"/>
    <x v="2"/>
    <n v="4"/>
    <x v="0"/>
    <x v="3"/>
    <x v="1"/>
    <x v="4"/>
    <x v="2"/>
  </r>
  <r>
    <s v="TX500640"/>
    <x v="13"/>
    <x v="11"/>
    <n v="36.4"/>
    <n v="327.59999999999997"/>
    <d v="2025-01-28T00:00:00"/>
    <d v="2025-01-30T00:00:00"/>
    <s v="F"/>
    <x v="0"/>
    <n v="5"/>
    <x v="0"/>
    <x v="3"/>
    <x v="1"/>
    <x v="4"/>
    <x v="2"/>
  </r>
  <r>
    <s v="TX500641"/>
    <x v="0"/>
    <x v="1"/>
    <n v="22.5"/>
    <n v="45"/>
    <d v="2025-01-28T00:00:00"/>
    <d v="2025-01-31T00:00:00"/>
    <s v="M"/>
    <x v="0"/>
    <n v="4"/>
    <x v="0"/>
    <x v="3"/>
    <x v="2"/>
    <x v="4"/>
    <x v="1"/>
  </r>
  <r>
    <s v="TX500642"/>
    <x v="6"/>
    <x v="12"/>
    <n v="70.8"/>
    <n v="283.2"/>
    <d v="2025-01-28T00:00:00"/>
    <d v="2025-01-30T00:00:00"/>
    <s v="F"/>
    <x v="4"/>
    <n v="4"/>
    <x v="0"/>
    <x v="3"/>
    <x v="1"/>
    <x v="4"/>
    <x v="2"/>
  </r>
  <r>
    <s v="TX500643"/>
    <x v="6"/>
    <x v="9"/>
    <n v="56.6"/>
    <n v="283"/>
    <d v="2025-01-28T00:00:00"/>
    <d v="2025-01-30T00:00:00"/>
    <s v="M"/>
    <x v="0"/>
    <n v="3"/>
    <x v="0"/>
    <x v="4"/>
    <x v="1"/>
    <x v="4"/>
    <x v="1"/>
  </r>
  <r>
    <s v="TX500644"/>
    <x v="6"/>
    <x v="1"/>
    <n v="47.9"/>
    <n v="95.8"/>
    <d v="2025-01-28T00:00:00"/>
    <d v="2025-01-29T00:00:00"/>
    <s v="F"/>
    <x v="0"/>
    <n v="4"/>
    <x v="0"/>
    <x v="6"/>
    <x v="3"/>
    <x v="4"/>
    <x v="2"/>
  </r>
  <r>
    <s v="TX500645"/>
    <x v="6"/>
    <x v="8"/>
    <n v="78.400000000000006"/>
    <n v="627.20000000000005"/>
    <d v="2025-01-28T00:00:00"/>
    <d v="2025-01-30T00:00:00"/>
    <s v="F"/>
    <x v="1"/>
    <n v="4"/>
    <x v="0"/>
    <x v="6"/>
    <x v="1"/>
    <x v="4"/>
    <x v="2"/>
  </r>
  <r>
    <s v="TX500646"/>
    <x v="2"/>
    <x v="21"/>
    <n v="122.1"/>
    <n v="1709.3999999999999"/>
    <d v="2025-01-28T00:00:00"/>
    <d v="2025-02-02T00:00:00"/>
    <s v="F"/>
    <x v="0"/>
    <n v="5"/>
    <x v="0"/>
    <x v="6"/>
    <x v="0"/>
    <x v="4"/>
    <x v="2"/>
  </r>
  <r>
    <s v="TX500647"/>
    <x v="2"/>
    <x v="1"/>
    <n v="83.7"/>
    <n v="167.4"/>
    <d v="2025-01-29T00:00:00"/>
    <d v="2025-01-29T00:00:00"/>
    <s v=""/>
    <x v="1"/>
    <n v="5"/>
    <x v="0"/>
    <x v="7"/>
    <x v="7"/>
    <x v="4"/>
    <x v="0"/>
  </r>
  <r>
    <s v="TX500648"/>
    <x v="3"/>
    <x v="12"/>
    <n v="97.9"/>
    <n v="391.6"/>
    <d v="2025-01-29T00:00:00"/>
    <d v="2025-02-02T00:00:00"/>
    <s v="F"/>
    <x v="3"/>
    <n v="5"/>
    <x v="0"/>
    <x v="7"/>
    <x v="5"/>
    <x v="4"/>
    <x v="2"/>
  </r>
  <r>
    <s v="TX500649"/>
    <x v="14"/>
    <x v="0"/>
    <n v="15"/>
    <n v="15"/>
    <d v="2025-01-29T00:00:00"/>
    <d v="2025-02-03T00:00:00"/>
    <s v="F"/>
    <x v="3"/>
    <n v="4"/>
    <x v="0"/>
    <x v="8"/>
    <x v="0"/>
    <x v="4"/>
    <x v="2"/>
  </r>
  <r>
    <s v="TX500650"/>
    <x v="12"/>
    <x v="2"/>
    <n v="94.6"/>
    <n v="283.79999999999995"/>
    <d v="2025-01-29T00:00:00"/>
    <d v="2025-01-30T00:00:00"/>
    <s v="M"/>
    <x v="2"/>
    <n v="3"/>
    <x v="0"/>
    <x v="8"/>
    <x v="3"/>
    <x v="4"/>
    <x v="1"/>
  </r>
  <r>
    <s v="TX500651"/>
    <x v="0"/>
    <x v="13"/>
    <n v="19.7"/>
    <n v="118.19999999999999"/>
    <d v="2025-01-29T00:00:00"/>
    <d v="2025-02-09T00:00:00"/>
    <s v="F"/>
    <x v="0"/>
    <n v="5"/>
    <x v="0"/>
    <x v="8"/>
    <x v="11"/>
    <x v="4"/>
    <x v="2"/>
  </r>
  <r>
    <s v="TX500652"/>
    <x v="7"/>
    <x v="0"/>
    <n v="46.7"/>
    <n v="46.7"/>
    <d v="2025-01-29T00:00:00"/>
    <d v="2025-02-01T00:00:00"/>
    <s v="F"/>
    <x v="2"/>
    <n v="4"/>
    <x v="0"/>
    <x v="17"/>
    <x v="2"/>
    <x v="4"/>
    <x v="2"/>
  </r>
  <r>
    <s v="TX500653"/>
    <x v="1"/>
    <x v="12"/>
    <n v="43"/>
    <n v="172"/>
    <d v="2025-01-29T00:00:00"/>
    <d v="2025-01-30T00:00:00"/>
    <s v="M"/>
    <x v="2"/>
    <n v="5"/>
    <x v="0"/>
    <x v="17"/>
    <x v="3"/>
    <x v="4"/>
    <x v="1"/>
  </r>
  <r>
    <s v="TX500654"/>
    <x v="6"/>
    <x v="2"/>
    <n v="68.2"/>
    <n v="204.60000000000002"/>
    <d v="2025-01-29T00:00:00"/>
    <d v="2025-02-04T00:00:00"/>
    <s v="F"/>
    <x v="0"/>
    <n v="4"/>
    <x v="0"/>
    <x v="9"/>
    <x v="4"/>
    <x v="4"/>
    <x v="2"/>
  </r>
  <r>
    <s v="TX500655"/>
    <x v="10"/>
    <x v="7"/>
    <n v="24.3"/>
    <n v="243"/>
    <d v="2025-01-29T00:00:00"/>
    <d v="2025-01-30T00:00:00"/>
    <s v="M"/>
    <x v="0"/>
    <n v="5"/>
    <x v="0"/>
    <x v="10"/>
    <x v="3"/>
    <x v="4"/>
    <x v="1"/>
  </r>
  <r>
    <s v="TX500656"/>
    <x v="7"/>
    <x v="1"/>
    <n v="86.8"/>
    <n v="173.6"/>
    <d v="2025-01-29T00:00:00"/>
    <d v="2025-02-02T00:00:00"/>
    <s v="F"/>
    <x v="4"/>
    <n v="5"/>
    <x v="0"/>
    <x v="11"/>
    <x v="5"/>
    <x v="4"/>
    <x v="2"/>
  </r>
  <r>
    <s v="TX500657"/>
    <x v="0"/>
    <x v="1"/>
    <n v="15.8"/>
    <n v="31.6"/>
    <d v="2025-01-29T00:00:00"/>
    <d v="2025-01-31T00:00:00"/>
    <s v="M"/>
    <x v="1"/>
    <n v="4"/>
    <x v="0"/>
    <x v="11"/>
    <x v="1"/>
    <x v="4"/>
    <x v="1"/>
  </r>
  <r>
    <s v="TX500658"/>
    <x v="2"/>
    <x v="12"/>
    <n v="61.6"/>
    <n v="246.4"/>
    <d v="2025-01-29T00:00:00"/>
    <d v="2025-01-30T00:00:00"/>
    <s v="M"/>
    <x v="2"/>
    <n v="4"/>
    <x v="0"/>
    <x v="11"/>
    <x v="3"/>
    <x v="4"/>
    <x v="1"/>
  </r>
  <r>
    <s v="TX500659"/>
    <x v="6"/>
    <x v="2"/>
    <n v="48.7"/>
    <n v="146.10000000000002"/>
    <d v="2025-01-29T00:00:00"/>
    <d v="2025-02-04T00:00:00"/>
    <s v="F"/>
    <x v="1"/>
    <n v="5"/>
    <x v="0"/>
    <x v="45"/>
    <x v="4"/>
    <x v="4"/>
    <x v="2"/>
  </r>
  <r>
    <s v="TX500660"/>
    <x v="8"/>
    <x v="12"/>
    <n v="24.3"/>
    <n v="97.2"/>
    <d v="2025-01-29T00:00:00"/>
    <d v="2025-01-31T00:00:00"/>
    <s v="F"/>
    <x v="1"/>
    <n v="5"/>
    <x v="0"/>
    <x v="21"/>
    <x v="1"/>
    <x v="4"/>
    <x v="2"/>
  </r>
  <r>
    <s v="TX500661"/>
    <x v="2"/>
    <x v="1"/>
    <n v="130.69999999999999"/>
    <n v="261.39999999999998"/>
    <d v="2025-01-29T00:00:00"/>
    <d v="2025-01-30T00:00:00"/>
    <s v="F"/>
    <x v="2"/>
    <n v="4"/>
    <x v="0"/>
    <x v="44"/>
    <x v="3"/>
    <x v="4"/>
    <x v="2"/>
  </r>
  <r>
    <s v="TX500662"/>
    <x v="10"/>
    <x v="0"/>
    <n v="26"/>
    <n v="26"/>
    <d v="2025-01-29T00:00:00"/>
    <d v="2025-01-31T00:00:00"/>
    <s v="M"/>
    <x v="0"/>
    <n v="4"/>
    <x v="0"/>
    <x v="3"/>
    <x v="1"/>
    <x v="4"/>
    <x v="1"/>
  </r>
  <r>
    <s v="TX500663"/>
    <x v="2"/>
    <x v="9"/>
    <n v="94.4"/>
    <n v="472"/>
    <d v="2025-01-29T00:00:00"/>
    <d v="2025-01-30T00:00:00"/>
    <s v="F"/>
    <x v="0"/>
    <n v="4"/>
    <x v="0"/>
    <x v="3"/>
    <x v="3"/>
    <x v="4"/>
    <x v="2"/>
  </r>
  <r>
    <s v="TX500664"/>
    <x v="0"/>
    <x v="13"/>
    <n v="23.7"/>
    <n v="142.19999999999999"/>
    <d v="2025-01-29T00:00:00"/>
    <d v="2025-01-31T00:00:00"/>
    <s v="M"/>
    <x v="2"/>
    <n v="5"/>
    <x v="0"/>
    <x v="3"/>
    <x v="1"/>
    <x v="4"/>
    <x v="1"/>
  </r>
  <r>
    <s v="TX500665"/>
    <x v="9"/>
    <x v="4"/>
    <n v="37.4"/>
    <n v="448.79999999999995"/>
    <d v="2025-01-29T00:00:00"/>
    <d v="2025-01-31T00:00:00"/>
    <s v="M"/>
    <x v="2"/>
    <n v="4"/>
    <x v="0"/>
    <x v="3"/>
    <x v="1"/>
    <x v="4"/>
    <x v="1"/>
  </r>
  <r>
    <s v="TX500666"/>
    <x v="1"/>
    <x v="34"/>
    <n v="55.2"/>
    <n v="1987.2"/>
    <d v="2025-01-29T00:00:00"/>
    <d v="2025-01-29T00:00:00"/>
    <s v="F"/>
    <x v="3"/>
    <n v="3"/>
    <x v="0"/>
    <x v="3"/>
    <x v="7"/>
    <x v="4"/>
    <x v="2"/>
  </r>
  <r>
    <s v="TX500667"/>
    <x v="2"/>
    <x v="11"/>
    <n v="57.1"/>
    <n v="513.9"/>
    <d v="2025-01-29T00:00:00"/>
    <d v="2025-01-31T00:00:00"/>
    <s v="M"/>
    <x v="0"/>
    <n v="5"/>
    <x v="0"/>
    <x v="3"/>
    <x v="1"/>
    <x v="4"/>
    <x v="1"/>
  </r>
  <r>
    <s v="TX500668"/>
    <x v="12"/>
    <x v="0"/>
    <n v="55.3"/>
    <n v="55.3"/>
    <d v="2025-01-29T00:00:00"/>
    <d v="2025-01-30T00:00:00"/>
    <s v="F"/>
    <x v="2"/>
    <n v="5"/>
    <x v="0"/>
    <x v="3"/>
    <x v="3"/>
    <x v="4"/>
    <x v="2"/>
  </r>
  <r>
    <s v="TX500669"/>
    <x v="15"/>
    <x v="3"/>
    <n v="23.9"/>
    <n v="167.29999999999998"/>
    <d v="2025-01-29T00:00:00"/>
    <d v="2025-01-30T00:00:00"/>
    <s v="F"/>
    <x v="4"/>
    <n v="3"/>
    <x v="0"/>
    <x v="3"/>
    <x v="3"/>
    <x v="4"/>
    <x v="2"/>
  </r>
  <r>
    <s v="TX500670"/>
    <x v="0"/>
    <x v="0"/>
    <n v="34.1"/>
    <n v="34.1"/>
    <d v="2025-01-29T00:00:00"/>
    <d v="2025-02-05T00:00:00"/>
    <s v="F"/>
    <x v="2"/>
    <n v="4"/>
    <x v="0"/>
    <x v="3"/>
    <x v="6"/>
    <x v="4"/>
    <x v="2"/>
  </r>
  <r>
    <s v="TX500671"/>
    <x v="12"/>
    <x v="12"/>
    <n v="38.5"/>
    <n v="154"/>
    <d v="2025-01-29T00:00:00"/>
    <d v="2025-02-09T00:00:00"/>
    <s v="F"/>
    <x v="0"/>
    <n v="4"/>
    <x v="0"/>
    <x v="3"/>
    <x v="11"/>
    <x v="4"/>
    <x v="2"/>
  </r>
  <r>
    <s v="TX500672"/>
    <x v="7"/>
    <x v="1"/>
    <n v="105"/>
    <n v="210"/>
    <d v="2025-01-29T00:00:00"/>
    <d v="2025-02-04T00:00:00"/>
    <s v="F"/>
    <x v="0"/>
    <n v="5"/>
    <x v="0"/>
    <x v="3"/>
    <x v="4"/>
    <x v="4"/>
    <x v="2"/>
  </r>
  <r>
    <s v="TX500673"/>
    <x v="8"/>
    <x v="9"/>
    <n v="45.2"/>
    <n v="226"/>
    <d v="2025-01-29T00:00:00"/>
    <d v="2025-01-31T00:00:00"/>
    <s v="F"/>
    <x v="0"/>
    <n v="5"/>
    <x v="0"/>
    <x v="3"/>
    <x v="1"/>
    <x v="4"/>
    <x v="2"/>
  </r>
  <r>
    <s v="TX500674"/>
    <x v="17"/>
    <x v="2"/>
    <n v="24.8"/>
    <n v="74.400000000000006"/>
    <d v="2025-01-29T00:00:00"/>
    <d v="2025-01-29T00:00:00"/>
    <s v=""/>
    <x v="0"/>
    <n v="3"/>
    <x v="0"/>
    <x v="3"/>
    <x v="7"/>
    <x v="4"/>
    <x v="0"/>
  </r>
  <r>
    <s v="TX500675"/>
    <x v="11"/>
    <x v="12"/>
    <n v="43.8"/>
    <n v="175.2"/>
    <d v="2025-01-29T00:00:00"/>
    <d v="2025-02-05T00:00:00"/>
    <s v="F"/>
    <x v="1"/>
    <n v="5"/>
    <x v="0"/>
    <x v="6"/>
    <x v="6"/>
    <x v="4"/>
    <x v="2"/>
  </r>
  <r>
    <s v="TX500676"/>
    <x v="1"/>
    <x v="0"/>
    <n v="75"/>
    <n v="75"/>
    <d v="2025-01-29T00:00:00"/>
    <d v="2025-01-31T00:00:00"/>
    <s v="F"/>
    <x v="4"/>
    <n v="3"/>
    <x v="0"/>
    <x v="6"/>
    <x v="1"/>
    <x v="4"/>
    <x v="2"/>
  </r>
  <r>
    <s v="TX500677"/>
    <x v="2"/>
    <x v="0"/>
    <n v="169.9"/>
    <n v="169.9"/>
    <d v="2025-01-29T00:00:00"/>
    <d v="2025-01-30T00:00:00"/>
    <s v="M"/>
    <x v="2"/>
    <n v="4"/>
    <x v="0"/>
    <x v="6"/>
    <x v="3"/>
    <x v="4"/>
    <x v="1"/>
  </r>
  <r>
    <s v="TX500678"/>
    <x v="9"/>
    <x v="1"/>
    <n v="72.2"/>
    <n v="144.4"/>
    <d v="2025-01-29T00:00:00"/>
    <d v="2025-01-31T00:00:00"/>
    <s v="F"/>
    <x v="4"/>
    <n v="3"/>
    <x v="0"/>
    <x v="6"/>
    <x v="1"/>
    <x v="4"/>
    <x v="2"/>
  </r>
  <r>
    <s v="TX500679"/>
    <x v="0"/>
    <x v="0"/>
    <n v="20"/>
    <n v="20"/>
    <d v="2025-01-30T00:00:00"/>
    <d v="2025-02-02T00:00:00"/>
    <s v="F"/>
    <x v="2"/>
    <n v="3"/>
    <x v="0"/>
    <x v="7"/>
    <x v="2"/>
    <x v="4"/>
    <x v="2"/>
  </r>
  <r>
    <s v="TX500680"/>
    <x v="9"/>
    <x v="1"/>
    <n v="40.799999999999997"/>
    <n v="81.599999999999994"/>
    <d v="2025-01-30T00:00:00"/>
    <d v="2025-02-01T00:00:00"/>
    <s v="F"/>
    <x v="3"/>
    <n v="5"/>
    <x v="0"/>
    <x v="8"/>
    <x v="1"/>
    <x v="4"/>
    <x v="2"/>
  </r>
  <r>
    <s v="TX500681"/>
    <x v="10"/>
    <x v="12"/>
    <n v="58"/>
    <n v="232"/>
    <d v="2025-01-30T00:00:00"/>
    <d v="2025-02-03T00:00:00"/>
    <s v="F"/>
    <x v="0"/>
    <n v="4"/>
    <x v="0"/>
    <x v="8"/>
    <x v="5"/>
    <x v="4"/>
    <x v="2"/>
  </r>
  <r>
    <s v="TX500682"/>
    <x v="12"/>
    <x v="1"/>
    <n v="43.1"/>
    <n v="86.2"/>
    <d v="2025-01-30T00:00:00"/>
    <d v="2025-01-31T00:00:00"/>
    <s v="F"/>
    <x v="1"/>
    <n v="5"/>
    <x v="0"/>
    <x v="8"/>
    <x v="3"/>
    <x v="4"/>
    <x v="2"/>
  </r>
  <r>
    <s v="TX500683"/>
    <x v="6"/>
    <x v="11"/>
    <n v="74.7"/>
    <n v="672.30000000000007"/>
    <d v="2025-01-30T00:00:00"/>
    <d v="2025-02-01T00:00:00"/>
    <s v="M"/>
    <x v="0"/>
    <n v="5"/>
    <x v="0"/>
    <x v="8"/>
    <x v="1"/>
    <x v="4"/>
    <x v="1"/>
  </r>
  <r>
    <s v="TX500684"/>
    <x v="6"/>
    <x v="0"/>
    <n v="128.19999999999999"/>
    <n v="128.19999999999999"/>
    <d v="2025-01-30T00:00:00"/>
    <d v="2025-01-30T00:00:00"/>
    <s v="M"/>
    <x v="1"/>
    <n v="4"/>
    <x v="0"/>
    <x v="8"/>
    <x v="7"/>
    <x v="4"/>
    <x v="1"/>
  </r>
  <r>
    <s v="TX500685"/>
    <x v="14"/>
    <x v="12"/>
    <n v="26.7"/>
    <n v="106.8"/>
    <d v="2025-01-30T00:00:00"/>
    <d v="2025-01-31T00:00:00"/>
    <s v="M"/>
    <x v="1"/>
    <n v="4"/>
    <x v="0"/>
    <x v="8"/>
    <x v="3"/>
    <x v="4"/>
    <x v="1"/>
  </r>
  <r>
    <s v="TX500686"/>
    <x v="17"/>
    <x v="13"/>
    <n v="31.5"/>
    <n v="189"/>
    <d v="2025-01-30T00:00:00"/>
    <d v="2025-01-31T00:00:00"/>
    <s v="F"/>
    <x v="2"/>
    <n v="4"/>
    <x v="0"/>
    <x v="17"/>
    <x v="3"/>
    <x v="4"/>
    <x v="2"/>
  </r>
  <r>
    <s v="TX500687"/>
    <x v="3"/>
    <x v="3"/>
    <n v="64.7"/>
    <n v="452.90000000000003"/>
    <d v="2025-01-30T00:00:00"/>
    <d v="2025-01-31T00:00:00"/>
    <s v="F"/>
    <x v="0"/>
    <n v="5"/>
    <x v="0"/>
    <x v="9"/>
    <x v="3"/>
    <x v="4"/>
    <x v="2"/>
  </r>
  <r>
    <s v="TX500688"/>
    <x v="5"/>
    <x v="1"/>
    <n v="55.6"/>
    <n v="111.2"/>
    <d v="2025-01-30T00:00:00"/>
    <d v="2025-02-02T00:00:00"/>
    <s v="F"/>
    <x v="3"/>
    <n v="4"/>
    <x v="0"/>
    <x v="11"/>
    <x v="2"/>
    <x v="4"/>
    <x v="2"/>
  </r>
  <r>
    <s v="TX500689"/>
    <x v="3"/>
    <x v="1"/>
    <n v="36.200000000000003"/>
    <n v="72.400000000000006"/>
    <d v="2025-01-30T00:00:00"/>
    <d v="2025-01-31T00:00:00"/>
    <s v="F"/>
    <x v="3"/>
    <n v="4"/>
    <x v="0"/>
    <x v="11"/>
    <x v="3"/>
    <x v="4"/>
    <x v="2"/>
  </r>
  <r>
    <s v="TX500690"/>
    <x v="0"/>
    <x v="0"/>
    <n v="26.6"/>
    <n v="26.6"/>
    <d v="2025-01-30T00:00:00"/>
    <d v="2025-01-31T00:00:00"/>
    <s v=""/>
    <x v="1"/>
    <n v="3"/>
    <x v="0"/>
    <x v="19"/>
    <x v="3"/>
    <x v="4"/>
    <x v="0"/>
  </r>
  <r>
    <s v="TX500691"/>
    <x v="10"/>
    <x v="12"/>
    <n v="31.5"/>
    <n v="126"/>
    <d v="2025-01-30T00:00:00"/>
    <d v="2025-02-01T00:00:00"/>
    <s v="M"/>
    <x v="0"/>
    <n v="4"/>
    <x v="0"/>
    <x v="31"/>
    <x v="1"/>
    <x v="4"/>
    <x v="1"/>
  </r>
  <r>
    <s v="TX500692"/>
    <x v="10"/>
    <x v="0"/>
    <n v="27"/>
    <n v="27"/>
    <d v="2025-01-30T00:00:00"/>
    <d v="2025-02-01T00:00:00"/>
    <s v="F"/>
    <x v="1"/>
    <n v="5"/>
    <x v="0"/>
    <x v="13"/>
    <x v="1"/>
    <x v="4"/>
    <x v="2"/>
  </r>
  <r>
    <s v="TX500693"/>
    <x v="4"/>
    <x v="0"/>
    <n v="32"/>
    <n v="32"/>
    <d v="2025-01-30T00:00:00"/>
    <d v="2025-02-02T00:00:00"/>
    <s v="M"/>
    <x v="3"/>
    <n v="4"/>
    <x v="0"/>
    <x v="21"/>
    <x v="2"/>
    <x v="4"/>
    <x v="1"/>
  </r>
  <r>
    <s v="TX500694"/>
    <x v="1"/>
    <x v="2"/>
    <n v="48.1"/>
    <n v="144.30000000000001"/>
    <d v="2025-01-30T00:00:00"/>
    <d v="2025-02-01T00:00:00"/>
    <s v="M"/>
    <x v="2"/>
    <n v="3"/>
    <x v="0"/>
    <x v="1"/>
    <x v="1"/>
    <x v="4"/>
    <x v="1"/>
  </r>
  <r>
    <s v="TX500695"/>
    <x v="9"/>
    <x v="1"/>
    <n v="43.4"/>
    <n v="86.8"/>
    <d v="2025-01-30T00:00:00"/>
    <d v="2025-01-31T00:00:00"/>
    <s v="M"/>
    <x v="1"/>
    <n v="3"/>
    <x v="0"/>
    <x v="22"/>
    <x v="3"/>
    <x v="4"/>
    <x v="1"/>
  </r>
  <r>
    <s v="TX500696"/>
    <x v="6"/>
    <x v="1"/>
    <n v="42.6"/>
    <n v="85.2"/>
    <d v="2025-01-30T00:00:00"/>
    <d v="2025-02-02T00:00:00"/>
    <s v="F"/>
    <x v="3"/>
    <n v="4"/>
    <x v="0"/>
    <x v="22"/>
    <x v="2"/>
    <x v="4"/>
    <x v="2"/>
  </r>
  <r>
    <s v="TX500697"/>
    <x v="8"/>
    <x v="1"/>
    <n v="15.9"/>
    <n v="31.8"/>
    <d v="2025-01-30T00:00:00"/>
    <d v="2025-01-31T00:00:00"/>
    <s v="F"/>
    <x v="0"/>
    <n v="4"/>
    <x v="0"/>
    <x v="34"/>
    <x v="3"/>
    <x v="4"/>
    <x v="2"/>
  </r>
  <r>
    <s v="TX500698"/>
    <x v="9"/>
    <x v="1"/>
    <n v="63.2"/>
    <n v="126.4"/>
    <d v="2025-01-30T00:00:00"/>
    <d v="2025-01-31T00:00:00"/>
    <s v="M"/>
    <x v="1"/>
    <n v="4"/>
    <x v="0"/>
    <x v="3"/>
    <x v="3"/>
    <x v="4"/>
    <x v="1"/>
  </r>
  <r>
    <s v="TX500699"/>
    <x v="7"/>
    <x v="12"/>
    <n v="64.8"/>
    <n v="259.2"/>
    <d v="2025-01-30T00:00:00"/>
    <d v="2025-02-01T00:00:00"/>
    <s v=""/>
    <x v="4"/>
    <n v="3"/>
    <x v="0"/>
    <x v="3"/>
    <x v="1"/>
    <x v="4"/>
    <x v="0"/>
  </r>
  <r>
    <s v="TX500700"/>
    <x v="7"/>
    <x v="2"/>
    <n v="79.8"/>
    <n v="239.39999999999998"/>
    <d v="2025-01-30T00:00:00"/>
    <d v="2025-01-31T00:00:00"/>
    <s v="M"/>
    <x v="0"/>
    <n v="4"/>
    <x v="0"/>
    <x v="3"/>
    <x v="3"/>
    <x v="4"/>
    <x v="1"/>
  </r>
  <r>
    <s v="TX500701"/>
    <x v="9"/>
    <x v="0"/>
    <n v="54.4"/>
    <n v="54.4"/>
    <d v="2025-01-30T00:00:00"/>
    <d v="2025-02-01T00:00:00"/>
    <s v="F"/>
    <x v="4"/>
    <n v="5"/>
    <x v="0"/>
    <x v="3"/>
    <x v="1"/>
    <x v="4"/>
    <x v="2"/>
  </r>
  <r>
    <s v="TX500702"/>
    <x v="6"/>
    <x v="0"/>
    <n v="87.3"/>
    <n v="87.3"/>
    <d v="2025-01-30T00:00:00"/>
    <d v="2025-01-31T00:00:00"/>
    <s v="M"/>
    <x v="1"/>
    <n v="4"/>
    <x v="0"/>
    <x v="3"/>
    <x v="3"/>
    <x v="4"/>
    <x v="1"/>
  </r>
  <r>
    <s v="TX500703"/>
    <x v="8"/>
    <x v="12"/>
    <n v="32.4"/>
    <n v="129.6"/>
    <d v="2025-01-30T00:00:00"/>
    <d v="2025-01-30T00:00:00"/>
    <s v="M"/>
    <x v="1"/>
    <n v="4"/>
    <x v="0"/>
    <x v="3"/>
    <x v="7"/>
    <x v="4"/>
    <x v="1"/>
  </r>
  <r>
    <s v="TX500704"/>
    <x v="2"/>
    <x v="0"/>
    <n v="177.4"/>
    <n v="177.4"/>
    <d v="2025-01-30T00:00:00"/>
    <d v="2025-02-03T00:00:00"/>
    <s v="M"/>
    <x v="0"/>
    <n v="5"/>
    <x v="0"/>
    <x v="3"/>
    <x v="5"/>
    <x v="4"/>
    <x v="1"/>
  </r>
  <r>
    <s v="TX500705"/>
    <x v="7"/>
    <x v="1"/>
    <n v="70.099999999999994"/>
    <n v="140.19999999999999"/>
    <d v="2025-01-30T00:00:00"/>
    <d v="2025-01-31T00:00:00"/>
    <s v="M"/>
    <x v="3"/>
    <n v="3"/>
    <x v="0"/>
    <x v="3"/>
    <x v="3"/>
    <x v="4"/>
    <x v="1"/>
  </r>
  <r>
    <s v="TX500706"/>
    <x v="9"/>
    <x v="13"/>
    <n v="51.1"/>
    <n v="306.60000000000002"/>
    <d v="2025-01-30T00:00:00"/>
    <d v="2025-01-31T00:00:00"/>
    <s v="F"/>
    <x v="0"/>
    <n v="4"/>
    <x v="0"/>
    <x v="3"/>
    <x v="3"/>
    <x v="4"/>
    <x v="2"/>
  </r>
  <r>
    <s v="TX500707"/>
    <x v="2"/>
    <x v="9"/>
    <n v="79.900000000000006"/>
    <n v="399.5"/>
    <d v="2025-01-30T00:00:00"/>
    <d v="2025-02-01T00:00:00"/>
    <s v="M"/>
    <x v="3"/>
    <n v="5"/>
    <x v="0"/>
    <x v="24"/>
    <x v="1"/>
    <x v="4"/>
    <x v="1"/>
  </r>
  <r>
    <s v="TX500708"/>
    <x v="6"/>
    <x v="0"/>
    <n v="57.6"/>
    <n v="57.6"/>
    <d v="2025-01-31T00:00:00"/>
    <d v="2025-02-05T00:00:00"/>
    <s v="M"/>
    <x v="0"/>
    <n v="5"/>
    <x v="0"/>
    <x v="49"/>
    <x v="0"/>
    <x v="4"/>
    <x v="1"/>
  </r>
  <r>
    <s v="TX500709"/>
    <x v="8"/>
    <x v="7"/>
    <n v="59.7"/>
    <n v="597"/>
    <d v="2025-01-31T00:00:00"/>
    <d v="2025-02-04T00:00:00"/>
    <s v="M"/>
    <x v="2"/>
    <n v="4"/>
    <x v="0"/>
    <x v="25"/>
    <x v="5"/>
    <x v="4"/>
    <x v="1"/>
  </r>
  <r>
    <s v="TX500710"/>
    <x v="8"/>
    <x v="9"/>
    <n v="30"/>
    <n v="150"/>
    <d v="2025-01-31T00:00:00"/>
    <d v="2025-02-02T00:00:00"/>
    <s v="M"/>
    <x v="1"/>
    <n v="4"/>
    <x v="0"/>
    <x v="6"/>
    <x v="1"/>
    <x v="4"/>
    <x v="1"/>
  </r>
  <r>
    <s v="TX500711"/>
    <x v="10"/>
    <x v="1"/>
    <n v="69.2"/>
    <n v="138.4"/>
    <d v="2025-01-31T00:00:00"/>
    <d v="2025-02-02T00:00:00"/>
    <s v=""/>
    <x v="2"/>
    <n v="3"/>
    <x v="0"/>
    <x v="6"/>
    <x v="1"/>
    <x v="4"/>
    <x v="0"/>
  </r>
  <r>
    <s v="TX500712"/>
    <x v="0"/>
    <x v="8"/>
    <n v="10.9"/>
    <n v="87.2"/>
    <d v="2025-01-31T00:00:00"/>
    <d v="2025-02-01T00:00:00"/>
    <s v="F"/>
    <x v="0"/>
    <n v="5"/>
    <x v="0"/>
    <x v="6"/>
    <x v="3"/>
    <x v="4"/>
    <x v="2"/>
  </r>
  <r>
    <s v="TX500713"/>
    <x v="16"/>
    <x v="1"/>
    <n v="48.6"/>
    <n v="97.2"/>
    <d v="2025-01-31T00:00:00"/>
    <d v="2025-02-04T00:00:00"/>
    <s v="M"/>
    <x v="1"/>
    <n v="5"/>
    <x v="0"/>
    <x v="6"/>
    <x v="5"/>
    <x v="4"/>
    <x v="1"/>
  </r>
  <r>
    <s v="TX500714"/>
    <x v="2"/>
    <x v="1"/>
    <n v="61.1"/>
    <n v="122.2"/>
    <d v="2025-01-31T00:00:00"/>
    <d v="2025-02-03T00:00:00"/>
    <s v="F"/>
    <x v="1"/>
    <n v="5"/>
    <x v="0"/>
    <x v="7"/>
    <x v="2"/>
    <x v="4"/>
    <x v="2"/>
  </r>
  <r>
    <s v="TX500715"/>
    <x v="8"/>
    <x v="1"/>
    <n v="23.2"/>
    <n v="46.4"/>
    <d v="2025-01-31T00:00:00"/>
    <d v="2025-02-01T00:00:00"/>
    <s v="M"/>
    <x v="3"/>
    <n v="5"/>
    <x v="0"/>
    <x v="8"/>
    <x v="3"/>
    <x v="4"/>
    <x v="1"/>
  </r>
  <r>
    <s v="TX500716"/>
    <x v="12"/>
    <x v="12"/>
    <n v="55.8"/>
    <n v="223.2"/>
    <d v="2025-01-31T00:00:00"/>
    <d v="2025-02-01T00:00:00"/>
    <s v="M"/>
    <x v="0"/>
    <n v="4"/>
    <x v="0"/>
    <x v="8"/>
    <x v="3"/>
    <x v="4"/>
    <x v="1"/>
  </r>
  <r>
    <s v="TX500717"/>
    <x v="9"/>
    <x v="12"/>
    <n v="24.8"/>
    <n v="99.2"/>
    <d v="2025-01-31T00:00:00"/>
    <d v="2025-02-01T00:00:00"/>
    <s v="F"/>
    <x v="0"/>
    <n v="5"/>
    <x v="0"/>
    <x v="8"/>
    <x v="3"/>
    <x v="4"/>
    <x v="2"/>
  </r>
  <r>
    <s v="TX500718"/>
    <x v="10"/>
    <x v="1"/>
    <n v="27.9"/>
    <n v="55.8"/>
    <d v="2025-01-31T00:00:00"/>
    <d v="2025-01-31T00:00:00"/>
    <s v="M"/>
    <x v="2"/>
    <n v="5"/>
    <x v="0"/>
    <x v="8"/>
    <x v="7"/>
    <x v="4"/>
    <x v="1"/>
  </r>
  <r>
    <s v="TX500719"/>
    <x v="10"/>
    <x v="13"/>
    <n v="51.1"/>
    <n v="306.60000000000002"/>
    <d v="2025-01-31T00:00:00"/>
    <d v="2025-01-31T00:00:00"/>
    <s v="F"/>
    <x v="3"/>
    <n v="4"/>
    <x v="0"/>
    <x v="8"/>
    <x v="7"/>
    <x v="4"/>
    <x v="2"/>
  </r>
  <r>
    <s v="TX500720"/>
    <x v="17"/>
    <x v="5"/>
    <n v="32.700000000000003"/>
    <n v="359.70000000000005"/>
    <d v="2025-01-31T00:00:00"/>
    <d v="2025-02-01T00:00:00"/>
    <s v="M"/>
    <x v="4"/>
    <n v="5"/>
    <x v="0"/>
    <x v="17"/>
    <x v="3"/>
    <x v="4"/>
    <x v="1"/>
  </r>
  <r>
    <s v="TX500721"/>
    <x v="8"/>
    <x v="12"/>
    <n v="22.5"/>
    <n v="90"/>
    <d v="2025-01-31T00:00:00"/>
    <d v="2025-01-31T00:00:00"/>
    <s v="M"/>
    <x v="0"/>
    <n v="5"/>
    <x v="0"/>
    <x v="26"/>
    <x v="7"/>
    <x v="4"/>
    <x v="1"/>
  </r>
  <r>
    <s v="TX500722"/>
    <x v="0"/>
    <x v="3"/>
    <n v="14.6"/>
    <n v="102.2"/>
    <d v="2025-01-31T00:00:00"/>
    <d v="2025-02-01T00:00:00"/>
    <s v="F"/>
    <x v="2"/>
    <n v="4"/>
    <x v="0"/>
    <x v="41"/>
    <x v="3"/>
    <x v="4"/>
    <x v="2"/>
  </r>
  <r>
    <s v="TX500723"/>
    <x v="5"/>
    <x v="2"/>
    <n v="32.5"/>
    <n v="97.5"/>
    <d v="2025-01-31T00:00:00"/>
    <d v="2025-02-03T00:00:00"/>
    <s v="M"/>
    <x v="0"/>
    <n v="4"/>
    <x v="0"/>
    <x v="10"/>
    <x v="2"/>
    <x v="4"/>
    <x v="1"/>
  </r>
  <r>
    <s v="TX500724"/>
    <x v="18"/>
    <x v="0"/>
    <n v="78.099999999999994"/>
    <n v="78.099999999999994"/>
    <d v="2025-01-31T00:00:00"/>
    <d v="2025-02-03T00:00:00"/>
    <s v="M"/>
    <x v="0"/>
    <n v="5"/>
    <x v="0"/>
    <x v="11"/>
    <x v="2"/>
    <x v="4"/>
    <x v="1"/>
  </r>
  <r>
    <s v="TX500725"/>
    <x v="12"/>
    <x v="13"/>
    <n v="110.2"/>
    <n v="661.2"/>
    <d v="2025-01-31T00:00:00"/>
    <d v="2025-01-31T00:00:00"/>
    <s v="M"/>
    <x v="1"/>
    <n v="2"/>
    <x v="0"/>
    <x v="13"/>
    <x v="7"/>
    <x v="4"/>
    <x v="1"/>
  </r>
  <r>
    <s v="TX500726"/>
    <x v="6"/>
    <x v="2"/>
    <n v="86.3"/>
    <n v="258.89999999999998"/>
    <d v="2025-01-31T00:00:00"/>
    <d v="2025-02-02T00:00:00"/>
    <s v="F"/>
    <x v="3"/>
    <n v="4"/>
    <x v="0"/>
    <x v="21"/>
    <x v="1"/>
    <x v="4"/>
    <x v="2"/>
  </r>
  <r>
    <s v="TX500727"/>
    <x v="1"/>
    <x v="13"/>
    <n v="73.599999999999994"/>
    <n v="441.59999999999997"/>
    <d v="2025-01-31T00:00:00"/>
    <d v="2025-02-02T00:00:00"/>
    <s v="O"/>
    <x v="3"/>
    <n v="2"/>
    <x v="0"/>
    <x v="44"/>
    <x v="1"/>
    <x v="4"/>
    <x v="3"/>
  </r>
  <r>
    <s v="TX500728"/>
    <x v="6"/>
    <x v="15"/>
    <n v="67.7"/>
    <n v="880.1"/>
    <d v="2025-01-31T00:00:00"/>
    <d v="2025-02-02T00:00:00"/>
    <s v="F"/>
    <x v="0"/>
    <n v="5"/>
    <x v="0"/>
    <x v="3"/>
    <x v="1"/>
    <x v="4"/>
    <x v="2"/>
  </r>
  <r>
    <s v="TX500729"/>
    <x v="7"/>
    <x v="13"/>
    <n v="142.19999999999999"/>
    <n v="853.19999999999993"/>
    <d v="2025-01-31T00:00:00"/>
    <d v="2025-02-01T00:00:00"/>
    <s v="F"/>
    <x v="2"/>
    <n v="2"/>
    <x v="0"/>
    <x v="3"/>
    <x v="3"/>
    <x v="4"/>
    <x v="2"/>
  </r>
  <r>
    <s v="TX500730"/>
    <x v="1"/>
    <x v="11"/>
    <n v="45.8"/>
    <n v="412.2"/>
    <d v="2025-01-31T00:00:00"/>
    <d v="2025-02-02T00:00:00"/>
    <s v="F"/>
    <x v="1"/>
    <n v="5"/>
    <x v="0"/>
    <x v="3"/>
    <x v="1"/>
    <x v="4"/>
    <x v="2"/>
  </r>
  <r>
    <s v="TX500731"/>
    <x v="10"/>
    <x v="1"/>
    <n v="24.2"/>
    <n v="48.4"/>
    <d v="2025-02-01T00:00:00"/>
    <d v="2025-02-04T00:00:00"/>
    <s v="F"/>
    <x v="3"/>
    <n v="5"/>
    <x v="0"/>
    <x v="3"/>
    <x v="2"/>
    <x v="4"/>
    <x v="2"/>
  </r>
  <r>
    <s v="TX500732"/>
    <x v="2"/>
    <x v="2"/>
    <n v="144.9"/>
    <n v="434.70000000000005"/>
    <d v="2025-02-01T00:00:00"/>
    <d v="2025-02-02T00:00:00"/>
    <s v="O"/>
    <x v="2"/>
    <n v="5"/>
    <x v="0"/>
    <x v="3"/>
    <x v="3"/>
    <x v="4"/>
    <x v="3"/>
  </r>
  <r>
    <s v="TX500733"/>
    <x v="11"/>
    <x v="9"/>
    <n v="32.799999999999997"/>
    <n v="164"/>
    <d v="2025-02-01T00:00:00"/>
    <d v="2025-02-04T00:00:00"/>
    <s v="F"/>
    <x v="2"/>
    <n v="4"/>
    <x v="0"/>
    <x v="23"/>
    <x v="2"/>
    <x v="4"/>
    <x v="2"/>
  </r>
  <r>
    <s v="TX500734"/>
    <x v="7"/>
    <x v="7"/>
    <n v="35.700000000000003"/>
    <n v="357"/>
    <d v="2025-02-01T00:00:00"/>
    <d v="2025-02-01T00:00:00"/>
    <s v="F"/>
    <x v="0"/>
    <n v="3"/>
    <x v="0"/>
    <x v="6"/>
    <x v="7"/>
    <x v="4"/>
    <x v="2"/>
  </r>
  <r>
    <s v="TX500735"/>
    <x v="9"/>
    <x v="1"/>
    <n v="54.6"/>
    <n v="109.2"/>
    <d v="2025-02-01T00:00:00"/>
    <d v="2025-02-02T00:00:00"/>
    <s v="F"/>
    <x v="2"/>
    <n v="4"/>
    <x v="0"/>
    <x v="6"/>
    <x v="3"/>
    <x v="4"/>
    <x v="2"/>
  </r>
  <r>
    <s v="TX500736"/>
    <x v="8"/>
    <x v="1"/>
    <n v="35.700000000000003"/>
    <n v="71.400000000000006"/>
    <d v="2025-02-01T00:00:00"/>
    <d v="2025-02-04T00:00:00"/>
    <s v=""/>
    <x v="0"/>
    <n v="3"/>
    <x v="0"/>
    <x v="6"/>
    <x v="2"/>
    <x v="4"/>
    <x v="0"/>
  </r>
  <r>
    <s v="TX500737"/>
    <x v="10"/>
    <x v="1"/>
    <n v="52.4"/>
    <n v="104.8"/>
    <d v="2025-02-01T00:00:00"/>
    <d v="2025-02-01T00:00:00"/>
    <s v="F"/>
    <x v="0"/>
    <n v="1"/>
    <x v="0"/>
    <x v="6"/>
    <x v="7"/>
    <x v="4"/>
    <x v="2"/>
  </r>
  <r>
    <s v="TX500738"/>
    <x v="8"/>
    <x v="21"/>
    <n v="16.2"/>
    <n v="226.79999999999998"/>
    <d v="2025-02-01T00:00:00"/>
    <d v="2025-02-02T00:00:00"/>
    <s v=""/>
    <x v="0"/>
    <n v="3"/>
    <x v="0"/>
    <x v="8"/>
    <x v="3"/>
    <x v="4"/>
    <x v="0"/>
  </r>
  <r>
    <s v="TX500739"/>
    <x v="6"/>
    <x v="35"/>
    <n v="42.8"/>
    <n v="2011.6"/>
    <d v="2025-02-01T00:00:00"/>
    <d v="2025-02-02T00:00:00"/>
    <s v="F"/>
    <x v="0"/>
    <n v="4"/>
    <x v="0"/>
    <x v="8"/>
    <x v="3"/>
    <x v="4"/>
    <x v="2"/>
  </r>
  <r>
    <s v="TX500740"/>
    <x v="6"/>
    <x v="11"/>
    <n v="144.4"/>
    <n v="1299.6000000000001"/>
    <d v="2025-02-01T00:00:00"/>
    <d v="2025-02-04T00:00:00"/>
    <s v="F"/>
    <x v="4"/>
    <n v="4"/>
    <x v="0"/>
    <x v="8"/>
    <x v="2"/>
    <x v="4"/>
    <x v="2"/>
  </r>
  <r>
    <s v="TX500741"/>
    <x v="3"/>
    <x v="34"/>
    <n v="30.6"/>
    <n v="1101.6000000000001"/>
    <d v="2025-02-01T00:00:00"/>
    <d v="2025-02-05T00:00:00"/>
    <s v="F"/>
    <x v="2"/>
    <n v="5"/>
    <x v="0"/>
    <x v="11"/>
    <x v="5"/>
    <x v="4"/>
    <x v="2"/>
  </r>
  <r>
    <s v="TX500742"/>
    <x v="2"/>
    <x v="1"/>
    <n v="117.5"/>
    <n v="235"/>
    <d v="2025-02-01T00:00:00"/>
    <d v="2025-02-02T00:00:00"/>
    <s v="M"/>
    <x v="0"/>
    <n v="4"/>
    <x v="0"/>
    <x v="19"/>
    <x v="3"/>
    <x v="4"/>
    <x v="1"/>
  </r>
  <r>
    <s v="TX500743"/>
    <x v="6"/>
    <x v="1"/>
    <n v="105.7"/>
    <n v="211.4"/>
    <d v="2025-02-01T00:00:00"/>
    <d v="2025-02-02T00:00:00"/>
    <s v="F"/>
    <x v="2"/>
    <n v="5"/>
    <x v="0"/>
    <x v="21"/>
    <x v="3"/>
    <x v="4"/>
    <x v="2"/>
  </r>
  <r>
    <s v="TX500744"/>
    <x v="3"/>
    <x v="2"/>
    <n v="133.69999999999999"/>
    <n v="401.09999999999997"/>
    <d v="2025-02-01T00:00:00"/>
    <d v="2025-02-02T00:00:00"/>
    <s v=""/>
    <x v="4"/>
    <n v="5"/>
    <x v="0"/>
    <x v="21"/>
    <x v="3"/>
    <x v="4"/>
    <x v="0"/>
  </r>
  <r>
    <s v="TX500745"/>
    <x v="4"/>
    <x v="9"/>
    <n v="46.8"/>
    <n v="234"/>
    <d v="2025-02-02T00:00:00"/>
    <d v="2025-02-10T00:00:00"/>
    <s v="F"/>
    <x v="0"/>
    <n v="3"/>
    <x v="0"/>
    <x v="21"/>
    <x v="9"/>
    <x v="5"/>
    <x v="2"/>
  </r>
  <r>
    <s v="TX500746"/>
    <x v="10"/>
    <x v="2"/>
    <n v="58.4"/>
    <n v="175.2"/>
    <d v="2025-02-02T00:00:00"/>
    <d v="2025-02-04T00:00:00"/>
    <s v="F"/>
    <x v="0"/>
    <n v="4"/>
    <x v="0"/>
    <x v="1"/>
    <x v="1"/>
    <x v="5"/>
    <x v="2"/>
  </r>
  <r>
    <s v="TX500747"/>
    <x v="6"/>
    <x v="11"/>
    <n v="65.099999999999994"/>
    <n v="585.9"/>
    <d v="2025-02-02T00:00:00"/>
    <d v="2025-02-06T00:00:00"/>
    <s v="M"/>
    <x v="1"/>
    <n v="5"/>
    <x v="0"/>
    <x v="22"/>
    <x v="5"/>
    <x v="5"/>
    <x v="1"/>
  </r>
  <r>
    <s v="TX500748"/>
    <x v="8"/>
    <x v="0"/>
    <n v="18.600000000000001"/>
    <n v="18.600000000000001"/>
    <d v="2025-02-02T00:00:00"/>
    <d v="2025-02-05T00:00:00"/>
    <s v="F"/>
    <x v="0"/>
    <n v="2"/>
    <x v="0"/>
    <x v="22"/>
    <x v="2"/>
    <x v="5"/>
    <x v="2"/>
  </r>
  <r>
    <s v="TX500749"/>
    <x v="1"/>
    <x v="5"/>
    <n v="92.3"/>
    <n v="1015.3"/>
    <d v="2025-02-02T00:00:00"/>
    <d v="2025-02-04T00:00:00"/>
    <s v="M"/>
    <x v="1"/>
    <n v="4"/>
    <x v="0"/>
    <x v="3"/>
    <x v="1"/>
    <x v="5"/>
    <x v="1"/>
  </r>
  <r>
    <s v="TX500750"/>
    <x v="6"/>
    <x v="2"/>
    <n v="81.7"/>
    <n v="245.10000000000002"/>
    <d v="2025-02-02T00:00:00"/>
    <d v="2025-02-03T00:00:00"/>
    <s v=""/>
    <x v="4"/>
    <n v="2"/>
    <x v="0"/>
    <x v="3"/>
    <x v="3"/>
    <x v="5"/>
    <x v="0"/>
  </r>
  <r>
    <s v="TX500751"/>
    <x v="8"/>
    <x v="1"/>
    <n v="40.9"/>
    <n v="81.8"/>
    <d v="2025-02-02T00:00:00"/>
    <d v="2025-02-04T00:00:00"/>
    <s v="M"/>
    <x v="0"/>
    <n v="3"/>
    <x v="0"/>
    <x v="3"/>
    <x v="1"/>
    <x v="5"/>
    <x v="1"/>
  </r>
  <r>
    <s v="TX500752"/>
    <x v="6"/>
    <x v="12"/>
    <n v="43.2"/>
    <n v="172.8"/>
    <d v="2025-02-02T00:00:00"/>
    <d v="2025-02-08T00:00:00"/>
    <s v="F"/>
    <x v="0"/>
    <n v="3"/>
    <x v="0"/>
    <x v="3"/>
    <x v="4"/>
    <x v="5"/>
    <x v="2"/>
  </r>
  <r>
    <s v="TX500753"/>
    <x v="8"/>
    <x v="5"/>
    <n v="25.8"/>
    <n v="283.8"/>
    <d v="2025-02-02T00:00:00"/>
    <d v="2025-02-05T00:00:00"/>
    <s v="M"/>
    <x v="2"/>
    <n v="3"/>
    <x v="0"/>
    <x v="3"/>
    <x v="2"/>
    <x v="5"/>
    <x v="1"/>
  </r>
  <r>
    <s v="TX500754"/>
    <x v="15"/>
    <x v="12"/>
    <n v="36.4"/>
    <n v="145.6"/>
    <d v="2025-02-02T00:00:00"/>
    <d v="2025-02-03T00:00:00"/>
    <s v="M"/>
    <x v="0"/>
    <n v="4"/>
    <x v="0"/>
    <x v="3"/>
    <x v="3"/>
    <x v="5"/>
    <x v="1"/>
  </r>
  <r>
    <s v="TX500755"/>
    <x v="10"/>
    <x v="0"/>
    <n v="59.1"/>
    <n v="59.1"/>
    <d v="2025-02-02T00:00:00"/>
    <d v="2025-02-03T00:00:00"/>
    <s v="F"/>
    <x v="2"/>
    <n v="4"/>
    <x v="0"/>
    <x v="7"/>
    <x v="3"/>
    <x v="5"/>
    <x v="2"/>
  </r>
  <r>
    <s v="TX500756"/>
    <x v="2"/>
    <x v="14"/>
    <n v="74.5"/>
    <n v="1266.5"/>
    <d v="2025-02-02T00:00:00"/>
    <d v="2025-02-04T00:00:00"/>
    <s v="M"/>
    <x v="4"/>
    <n v="4"/>
    <x v="0"/>
    <x v="18"/>
    <x v="1"/>
    <x v="5"/>
    <x v="1"/>
  </r>
  <r>
    <s v="TX500757"/>
    <x v="5"/>
    <x v="0"/>
    <n v="72.8"/>
    <n v="72.8"/>
    <d v="2025-02-02T00:00:00"/>
    <d v="2025-02-03T00:00:00"/>
    <s v="F"/>
    <x v="0"/>
    <n v="3"/>
    <x v="0"/>
    <x v="19"/>
    <x v="3"/>
    <x v="5"/>
    <x v="2"/>
  </r>
  <r>
    <s v="TX500758"/>
    <x v="6"/>
    <x v="12"/>
    <n v="137.30000000000001"/>
    <n v="549.20000000000005"/>
    <d v="2025-02-02T00:00:00"/>
    <d v="2025-02-05T00:00:00"/>
    <s v="F"/>
    <x v="0"/>
    <n v="4"/>
    <x v="0"/>
    <x v="13"/>
    <x v="2"/>
    <x v="5"/>
    <x v="2"/>
  </r>
  <r>
    <s v="TX500759"/>
    <x v="1"/>
    <x v="2"/>
    <n v="48.7"/>
    <n v="146.10000000000002"/>
    <d v="2025-02-02T00:00:00"/>
    <d v="2025-02-07T00:00:00"/>
    <s v="F"/>
    <x v="0"/>
    <n v="3"/>
    <x v="0"/>
    <x v="21"/>
    <x v="0"/>
    <x v="5"/>
    <x v="2"/>
  </r>
  <r>
    <s v="TX500760"/>
    <x v="6"/>
    <x v="12"/>
    <n v="53.7"/>
    <n v="214.8"/>
    <d v="2025-02-02T00:00:00"/>
    <d v="2025-02-06T00:00:00"/>
    <s v="M"/>
    <x v="1"/>
    <n v="2"/>
    <x v="0"/>
    <x v="2"/>
    <x v="5"/>
    <x v="5"/>
    <x v="1"/>
  </r>
  <r>
    <s v="TX500761"/>
    <x v="2"/>
    <x v="3"/>
    <n v="100.9"/>
    <n v="706.30000000000007"/>
    <d v="2025-02-02T00:00:00"/>
    <d v="2025-02-04T00:00:00"/>
    <s v="F"/>
    <x v="0"/>
    <n v="3"/>
    <x v="0"/>
    <x v="2"/>
    <x v="1"/>
    <x v="5"/>
    <x v="2"/>
  </r>
  <r>
    <s v="TX500762"/>
    <x v="10"/>
    <x v="1"/>
    <n v="41.8"/>
    <n v="83.6"/>
    <d v="2025-02-02T00:00:00"/>
    <d v="2025-02-06T00:00:00"/>
    <s v="M"/>
    <x v="3"/>
    <n v="5"/>
    <x v="0"/>
    <x v="22"/>
    <x v="5"/>
    <x v="5"/>
    <x v="1"/>
  </r>
  <r>
    <s v="TX500763"/>
    <x v="4"/>
    <x v="8"/>
    <n v="28.5"/>
    <n v="228"/>
    <d v="2025-02-02T00:00:00"/>
    <d v="2025-02-04T00:00:00"/>
    <s v="M"/>
    <x v="2"/>
    <n v="3"/>
    <x v="0"/>
    <x v="3"/>
    <x v="1"/>
    <x v="5"/>
    <x v="1"/>
  </r>
  <r>
    <s v="TX500764"/>
    <x v="7"/>
    <x v="12"/>
    <n v="88.9"/>
    <n v="355.6"/>
    <d v="2025-02-02T00:00:00"/>
    <d v="2025-02-05T00:00:00"/>
    <s v="F"/>
    <x v="0"/>
    <n v="5"/>
    <x v="0"/>
    <x v="3"/>
    <x v="2"/>
    <x v="5"/>
    <x v="2"/>
  </r>
  <r>
    <s v="TX500765"/>
    <x v="6"/>
    <x v="0"/>
    <n v="62.5"/>
    <n v="62.5"/>
    <d v="2025-02-02T00:00:00"/>
    <d v="2025-02-11T00:00:00"/>
    <s v="F"/>
    <x v="0"/>
    <n v="5"/>
    <x v="0"/>
    <x v="3"/>
    <x v="8"/>
    <x v="5"/>
    <x v="2"/>
  </r>
  <r>
    <s v="TX500766"/>
    <x v="1"/>
    <x v="2"/>
    <n v="46.9"/>
    <n v="140.69999999999999"/>
    <d v="2025-02-02T00:00:00"/>
    <d v="2025-02-03T00:00:00"/>
    <s v="M"/>
    <x v="0"/>
    <n v="5"/>
    <x v="0"/>
    <x v="3"/>
    <x v="3"/>
    <x v="5"/>
    <x v="1"/>
  </r>
  <r>
    <s v="TX500767"/>
    <x v="8"/>
    <x v="2"/>
    <n v="45"/>
    <n v="135"/>
    <d v="2025-02-02T00:00:00"/>
    <d v="2025-02-16T00:00:00"/>
    <s v="M"/>
    <x v="1"/>
    <n v="4"/>
    <x v="0"/>
    <x v="3"/>
    <x v="12"/>
    <x v="5"/>
    <x v="1"/>
  </r>
  <r>
    <s v="TX500768"/>
    <x v="6"/>
    <x v="2"/>
    <n v="45.2"/>
    <n v="135.60000000000002"/>
    <d v="2025-02-02T00:00:00"/>
    <d v="2025-02-04T00:00:00"/>
    <s v="M"/>
    <x v="4"/>
    <n v="5"/>
    <x v="0"/>
    <x v="3"/>
    <x v="1"/>
    <x v="5"/>
    <x v="1"/>
  </r>
  <r>
    <s v="TX500769"/>
    <x v="4"/>
    <x v="1"/>
    <n v="60.1"/>
    <n v="120.2"/>
    <d v="2025-02-02T00:00:00"/>
    <d v="2025-02-03T00:00:00"/>
    <s v="F"/>
    <x v="0"/>
    <n v="5"/>
    <x v="0"/>
    <x v="3"/>
    <x v="3"/>
    <x v="5"/>
    <x v="2"/>
  </r>
  <r>
    <s v="TX500770"/>
    <x v="12"/>
    <x v="12"/>
    <n v="118.7"/>
    <n v="474.8"/>
    <d v="2025-02-02T00:00:00"/>
    <d v="2025-02-04T00:00:00"/>
    <s v="F"/>
    <x v="0"/>
    <n v="4"/>
    <x v="0"/>
    <x v="3"/>
    <x v="1"/>
    <x v="5"/>
    <x v="2"/>
  </r>
  <r>
    <s v="TX500771"/>
    <x v="9"/>
    <x v="0"/>
    <n v="57.8"/>
    <n v="57.8"/>
    <d v="2025-02-02T00:00:00"/>
    <d v="2025-02-11T00:00:00"/>
    <s v="F"/>
    <x v="1"/>
    <n v="4"/>
    <x v="0"/>
    <x v="3"/>
    <x v="8"/>
    <x v="5"/>
    <x v="2"/>
  </r>
  <r>
    <s v="TX500772"/>
    <x v="4"/>
    <x v="0"/>
    <n v="19.5"/>
    <n v="19.5"/>
    <d v="2025-02-02T00:00:00"/>
    <d v="2025-02-03T00:00:00"/>
    <s v="M"/>
    <x v="1"/>
    <n v="3"/>
    <x v="0"/>
    <x v="3"/>
    <x v="3"/>
    <x v="5"/>
    <x v="1"/>
  </r>
  <r>
    <s v="TX500773"/>
    <x v="12"/>
    <x v="0"/>
    <n v="42.6"/>
    <n v="42.6"/>
    <d v="2025-02-02T00:00:00"/>
    <d v="2025-02-03T00:00:00"/>
    <s v="M"/>
    <x v="0"/>
    <n v="3"/>
    <x v="0"/>
    <x v="3"/>
    <x v="3"/>
    <x v="5"/>
    <x v="1"/>
  </r>
  <r>
    <s v="TX500774"/>
    <x v="6"/>
    <x v="1"/>
    <n v="74.8"/>
    <n v="149.6"/>
    <d v="2025-02-02T00:00:00"/>
    <d v="2025-02-03T00:00:00"/>
    <s v="F"/>
    <x v="3"/>
    <n v="5"/>
    <x v="0"/>
    <x v="37"/>
    <x v="3"/>
    <x v="5"/>
    <x v="2"/>
  </r>
  <r>
    <s v="TX500775"/>
    <x v="8"/>
    <x v="2"/>
    <n v="32.5"/>
    <n v="97.5"/>
    <d v="2025-02-02T00:00:00"/>
    <d v="2025-02-03T00:00:00"/>
    <s v="M"/>
    <x v="2"/>
    <n v="2"/>
    <x v="0"/>
    <x v="16"/>
    <x v="3"/>
    <x v="5"/>
    <x v="1"/>
  </r>
  <r>
    <s v="TX500776"/>
    <x v="2"/>
    <x v="2"/>
    <n v="60.5"/>
    <n v="181.5"/>
    <d v="2025-02-02T00:00:00"/>
    <d v="2025-02-02T00:00:00"/>
    <s v="F"/>
    <x v="1"/>
    <n v="5"/>
    <x v="0"/>
    <x v="25"/>
    <x v="7"/>
    <x v="5"/>
    <x v="2"/>
  </r>
  <r>
    <s v="TX500777"/>
    <x v="1"/>
    <x v="3"/>
    <n v="57.2"/>
    <n v="400.40000000000003"/>
    <d v="2025-02-02T00:00:00"/>
    <d v="2025-02-04T00:00:00"/>
    <s v=""/>
    <x v="2"/>
    <n v="4"/>
    <x v="0"/>
    <x v="25"/>
    <x v="1"/>
    <x v="5"/>
    <x v="0"/>
  </r>
  <r>
    <s v="TX500778"/>
    <x v="16"/>
    <x v="1"/>
    <n v="112"/>
    <n v="224"/>
    <d v="2025-02-02T00:00:00"/>
    <d v="2025-02-03T00:00:00"/>
    <s v="F"/>
    <x v="1"/>
    <n v="3"/>
    <x v="0"/>
    <x v="5"/>
    <x v="3"/>
    <x v="5"/>
    <x v="2"/>
  </r>
  <r>
    <s v="TX500779"/>
    <x v="7"/>
    <x v="7"/>
    <n v="49"/>
    <n v="490"/>
    <d v="2025-02-02T00:00:00"/>
    <d v="2025-02-03T00:00:00"/>
    <s v="O"/>
    <x v="2"/>
    <n v="3"/>
    <x v="0"/>
    <x v="6"/>
    <x v="3"/>
    <x v="5"/>
    <x v="3"/>
  </r>
  <r>
    <s v="TX500780"/>
    <x v="0"/>
    <x v="1"/>
    <n v="33.700000000000003"/>
    <n v="67.400000000000006"/>
    <d v="2025-02-02T00:00:00"/>
    <d v="2025-02-06T00:00:00"/>
    <s v="F"/>
    <x v="3"/>
    <n v="4"/>
    <x v="0"/>
    <x v="6"/>
    <x v="5"/>
    <x v="5"/>
    <x v="2"/>
  </r>
  <r>
    <s v="TX500781"/>
    <x v="4"/>
    <x v="2"/>
    <n v="35.6"/>
    <n v="106.80000000000001"/>
    <d v="2025-02-02T00:00:00"/>
    <d v="2025-02-05T00:00:00"/>
    <s v="F"/>
    <x v="0"/>
    <n v="5"/>
    <x v="0"/>
    <x v="6"/>
    <x v="2"/>
    <x v="5"/>
    <x v="2"/>
  </r>
  <r>
    <s v="TX500782"/>
    <x v="4"/>
    <x v="36"/>
    <n v="30.4"/>
    <n v="1064"/>
    <d v="2025-02-03T00:00:00"/>
    <d v="2025-02-03T00:00:00"/>
    <s v="F"/>
    <x v="0"/>
    <n v="3"/>
    <x v="0"/>
    <x v="7"/>
    <x v="7"/>
    <x v="5"/>
    <x v="2"/>
  </r>
  <r>
    <s v="TX500783"/>
    <x v="10"/>
    <x v="4"/>
    <n v="50.2"/>
    <n v="602.40000000000009"/>
    <d v="2025-02-03T00:00:00"/>
    <d v="2025-02-04T00:00:00"/>
    <s v="M"/>
    <x v="4"/>
    <n v="4"/>
    <x v="0"/>
    <x v="8"/>
    <x v="3"/>
    <x v="5"/>
    <x v="1"/>
  </r>
  <r>
    <s v="TX500784"/>
    <x v="1"/>
    <x v="1"/>
    <n v="43.7"/>
    <n v="87.4"/>
    <d v="2025-02-03T00:00:00"/>
    <d v="2025-02-05T00:00:00"/>
    <s v="F"/>
    <x v="0"/>
    <n v="4"/>
    <x v="0"/>
    <x v="8"/>
    <x v="1"/>
    <x v="5"/>
    <x v="2"/>
  </r>
  <r>
    <s v="TX500785"/>
    <x v="10"/>
    <x v="0"/>
    <n v="33.299999999999997"/>
    <n v="33.299999999999997"/>
    <d v="2025-02-03T00:00:00"/>
    <d v="2025-02-04T00:00:00"/>
    <s v="F"/>
    <x v="2"/>
    <n v="3"/>
    <x v="0"/>
    <x v="8"/>
    <x v="3"/>
    <x v="5"/>
    <x v="2"/>
  </r>
  <r>
    <s v="TX500786"/>
    <x v="8"/>
    <x v="12"/>
    <n v="15.1"/>
    <n v="60.4"/>
    <d v="2025-02-03T00:00:00"/>
    <d v="2025-02-05T00:00:00"/>
    <s v="F"/>
    <x v="4"/>
    <n v="5"/>
    <x v="0"/>
    <x v="8"/>
    <x v="1"/>
    <x v="5"/>
    <x v="2"/>
  </r>
  <r>
    <s v="TX500787"/>
    <x v="6"/>
    <x v="9"/>
    <n v="118.2"/>
    <n v="591"/>
    <d v="2025-02-03T00:00:00"/>
    <d v="2025-02-04T00:00:00"/>
    <s v="F"/>
    <x v="3"/>
    <n v="2"/>
    <x v="0"/>
    <x v="8"/>
    <x v="3"/>
    <x v="5"/>
    <x v="2"/>
  </r>
  <r>
    <s v="TX500788"/>
    <x v="10"/>
    <x v="2"/>
    <n v="28.9"/>
    <n v="86.699999999999989"/>
    <d v="2025-02-03T00:00:00"/>
    <d v="2025-02-05T00:00:00"/>
    <s v="F"/>
    <x v="2"/>
    <n v="3"/>
    <x v="0"/>
    <x v="8"/>
    <x v="1"/>
    <x v="5"/>
    <x v="2"/>
  </r>
  <r>
    <s v="TX500789"/>
    <x v="4"/>
    <x v="2"/>
    <n v="55.6"/>
    <n v="166.8"/>
    <d v="2025-02-03T00:00:00"/>
    <d v="2025-02-04T00:00:00"/>
    <s v="M"/>
    <x v="0"/>
    <n v="3"/>
    <x v="0"/>
    <x v="8"/>
    <x v="3"/>
    <x v="5"/>
    <x v="1"/>
  </r>
  <r>
    <s v="TX500790"/>
    <x v="9"/>
    <x v="12"/>
    <n v="25.6"/>
    <n v="102.4"/>
    <d v="2025-02-03T00:00:00"/>
    <d v="2025-02-05T00:00:00"/>
    <s v="F"/>
    <x v="0"/>
    <n v="3"/>
    <x v="0"/>
    <x v="8"/>
    <x v="1"/>
    <x v="5"/>
    <x v="2"/>
  </r>
  <r>
    <s v="TX500791"/>
    <x v="7"/>
    <x v="2"/>
    <n v="31.3"/>
    <n v="93.9"/>
    <d v="2025-02-03T00:00:00"/>
    <d v="2025-02-04T00:00:00"/>
    <s v="M"/>
    <x v="0"/>
    <n v="4"/>
    <x v="0"/>
    <x v="17"/>
    <x v="3"/>
    <x v="5"/>
    <x v="1"/>
  </r>
  <r>
    <s v="TX500792"/>
    <x v="0"/>
    <x v="2"/>
    <n v="22.1"/>
    <n v="66.300000000000011"/>
    <d v="2025-02-03T00:00:00"/>
    <d v="2025-02-07T00:00:00"/>
    <s v="M"/>
    <x v="0"/>
    <n v="4"/>
    <x v="0"/>
    <x v="17"/>
    <x v="5"/>
    <x v="5"/>
    <x v="1"/>
  </r>
  <r>
    <s v="TX500793"/>
    <x v="2"/>
    <x v="21"/>
    <n v="99.4"/>
    <n v="1391.6000000000001"/>
    <d v="2025-02-03T00:00:00"/>
    <d v="2025-02-04T00:00:00"/>
    <s v="M"/>
    <x v="1"/>
    <n v="4"/>
    <x v="0"/>
    <x v="11"/>
    <x v="3"/>
    <x v="5"/>
    <x v="1"/>
  </r>
  <r>
    <s v="TX500794"/>
    <x v="7"/>
    <x v="13"/>
    <n v="66.599999999999994"/>
    <n v="399.59999999999997"/>
    <d v="2025-02-03T00:00:00"/>
    <d v="2025-02-04T00:00:00"/>
    <s v="F"/>
    <x v="0"/>
    <n v="4"/>
    <x v="0"/>
    <x v="11"/>
    <x v="3"/>
    <x v="5"/>
    <x v="2"/>
  </r>
  <r>
    <s v="TX500795"/>
    <x v="8"/>
    <x v="1"/>
    <n v="22.6"/>
    <n v="45.2"/>
    <d v="2025-02-03T00:00:00"/>
    <d v="2025-02-06T00:00:00"/>
    <s v="M"/>
    <x v="0"/>
    <n v="4"/>
    <x v="0"/>
    <x v="11"/>
    <x v="2"/>
    <x v="5"/>
    <x v="1"/>
  </r>
  <r>
    <s v="TX500796"/>
    <x v="2"/>
    <x v="16"/>
    <n v="66.8"/>
    <n v="1202.3999999999999"/>
    <d v="2025-02-03T00:00:00"/>
    <d v="2025-02-04T00:00:00"/>
    <s v="F"/>
    <x v="0"/>
    <n v="2"/>
    <x v="0"/>
    <x v="13"/>
    <x v="3"/>
    <x v="5"/>
    <x v="2"/>
  </r>
  <r>
    <s v="TX500797"/>
    <x v="0"/>
    <x v="12"/>
    <n v="20.8"/>
    <n v="83.2"/>
    <d v="2025-02-03T00:00:00"/>
    <d v="2025-02-10T00:00:00"/>
    <s v="M"/>
    <x v="1"/>
    <n v="2"/>
    <x v="0"/>
    <x v="1"/>
    <x v="6"/>
    <x v="5"/>
    <x v="1"/>
  </r>
  <r>
    <s v="TX500798"/>
    <x v="2"/>
    <x v="3"/>
    <n v="102.5"/>
    <n v="717.5"/>
    <d v="2025-02-03T00:00:00"/>
    <d v="2025-02-04T00:00:00"/>
    <s v="F"/>
    <x v="4"/>
    <n v="5"/>
    <x v="0"/>
    <x v="3"/>
    <x v="3"/>
    <x v="5"/>
    <x v="2"/>
  </r>
  <r>
    <s v="TX500799"/>
    <x v="0"/>
    <x v="16"/>
    <n v="24.8"/>
    <n v="446.40000000000003"/>
    <d v="2025-02-03T00:00:00"/>
    <d v="2025-02-07T00:00:00"/>
    <s v="F"/>
    <x v="0"/>
    <n v="4"/>
    <x v="0"/>
    <x v="3"/>
    <x v="5"/>
    <x v="5"/>
    <x v="2"/>
  </r>
  <r>
    <s v="TX500800"/>
    <x v="4"/>
    <x v="37"/>
    <n v="31.4"/>
    <n v="973.4"/>
    <d v="2025-02-03T00:00:00"/>
    <d v="2025-02-04T00:00:00"/>
    <s v="F"/>
    <x v="3"/>
    <n v="4"/>
    <x v="0"/>
    <x v="3"/>
    <x v="3"/>
    <x v="5"/>
    <x v="2"/>
  </r>
  <r>
    <s v="TX500801"/>
    <x v="9"/>
    <x v="9"/>
    <n v="59.3"/>
    <n v="296.5"/>
    <d v="2025-02-03T00:00:00"/>
    <d v="2025-02-06T00:00:00"/>
    <s v="M"/>
    <x v="1"/>
    <n v="5"/>
    <x v="0"/>
    <x v="43"/>
    <x v="2"/>
    <x v="5"/>
    <x v="1"/>
  </r>
  <r>
    <s v="TX500802"/>
    <x v="11"/>
    <x v="13"/>
    <n v="39"/>
    <n v="234"/>
    <d v="2025-02-03T00:00:00"/>
    <d v="2025-02-06T00:00:00"/>
    <s v="M"/>
    <x v="1"/>
    <n v="4"/>
    <x v="0"/>
    <x v="6"/>
    <x v="2"/>
    <x v="5"/>
    <x v="1"/>
  </r>
  <r>
    <s v="TX500803"/>
    <x v="5"/>
    <x v="13"/>
    <n v="98.6"/>
    <n v="591.59999999999991"/>
    <d v="2025-02-03T00:00:00"/>
    <d v="2025-02-05T00:00:00"/>
    <s v="F"/>
    <x v="1"/>
    <n v="4"/>
    <x v="0"/>
    <x v="6"/>
    <x v="1"/>
    <x v="5"/>
    <x v="2"/>
  </r>
  <r>
    <s v="TX500804"/>
    <x v="8"/>
    <x v="0"/>
    <n v="20"/>
    <n v="20"/>
    <d v="2025-02-04T00:00:00"/>
    <d v="2025-02-05T00:00:00"/>
    <s v="M"/>
    <x v="3"/>
    <n v="5"/>
    <x v="0"/>
    <x v="8"/>
    <x v="3"/>
    <x v="5"/>
    <x v="1"/>
  </r>
  <r>
    <s v="TX500805"/>
    <x v="1"/>
    <x v="1"/>
    <n v="42.9"/>
    <n v="85.8"/>
    <d v="2025-02-04T00:00:00"/>
    <d v="2025-02-06T00:00:00"/>
    <s v="F"/>
    <x v="0"/>
    <n v="5"/>
    <x v="0"/>
    <x v="8"/>
    <x v="1"/>
    <x v="5"/>
    <x v="2"/>
  </r>
  <r>
    <s v="TX500806"/>
    <x v="7"/>
    <x v="3"/>
    <n v="55.6"/>
    <n v="389.2"/>
    <d v="2025-02-04T00:00:00"/>
    <d v="2025-02-06T00:00:00"/>
    <s v="F"/>
    <x v="2"/>
    <n v="3"/>
    <x v="0"/>
    <x v="8"/>
    <x v="1"/>
    <x v="5"/>
    <x v="2"/>
  </r>
  <r>
    <s v="TX500807"/>
    <x v="8"/>
    <x v="12"/>
    <n v="19.2"/>
    <n v="76.8"/>
    <d v="2025-02-04T00:00:00"/>
    <d v="2025-02-09T00:00:00"/>
    <s v="F"/>
    <x v="0"/>
    <n v="4"/>
    <x v="0"/>
    <x v="41"/>
    <x v="0"/>
    <x v="5"/>
    <x v="2"/>
  </r>
  <r>
    <s v="TX500808"/>
    <x v="5"/>
    <x v="1"/>
    <n v="28.8"/>
    <n v="57.6"/>
    <d v="2025-02-04T00:00:00"/>
    <d v="2025-02-06T00:00:00"/>
    <s v="M"/>
    <x v="1"/>
    <n v="4"/>
    <x v="0"/>
    <x v="18"/>
    <x v="1"/>
    <x v="5"/>
    <x v="1"/>
  </r>
  <r>
    <s v="TX500809"/>
    <x v="4"/>
    <x v="0"/>
    <n v="29.7"/>
    <n v="29.7"/>
    <d v="2025-02-04T00:00:00"/>
    <d v="2025-02-06T00:00:00"/>
    <s v="F"/>
    <x v="2"/>
    <n v="2"/>
    <x v="0"/>
    <x v="20"/>
    <x v="1"/>
    <x v="5"/>
    <x v="2"/>
  </r>
  <r>
    <s v="TX500810"/>
    <x v="6"/>
    <x v="13"/>
    <n v="63.3"/>
    <n v="379.79999999999995"/>
    <d v="2025-02-04T00:00:00"/>
    <d v="2025-02-05T00:00:00"/>
    <s v=""/>
    <x v="0"/>
    <n v="5"/>
    <x v="0"/>
    <x v="21"/>
    <x v="3"/>
    <x v="5"/>
    <x v="0"/>
  </r>
  <r>
    <s v="TX500811"/>
    <x v="4"/>
    <x v="0"/>
    <n v="46"/>
    <n v="46"/>
    <d v="2025-02-04T00:00:00"/>
    <d v="2025-02-05T00:00:00"/>
    <s v="F"/>
    <x v="0"/>
    <n v="5"/>
    <x v="0"/>
    <x v="21"/>
    <x v="3"/>
    <x v="5"/>
    <x v="2"/>
  </r>
  <r>
    <s v="TX500812"/>
    <x v="11"/>
    <x v="2"/>
    <n v="38"/>
    <n v="114"/>
    <d v="2025-02-04T00:00:00"/>
    <d v="2025-02-06T00:00:00"/>
    <s v="F"/>
    <x v="1"/>
    <n v="5"/>
    <x v="0"/>
    <x v="21"/>
    <x v="1"/>
    <x v="5"/>
    <x v="2"/>
  </r>
  <r>
    <s v="TX500813"/>
    <x v="10"/>
    <x v="15"/>
    <n v="34.6"/>
    <n v="449.8"/>
    <d v="2025-02-04T00:00:00"/>
    <d v="2025-02-06T00:00:00"/>
    <s v="F"/>
    <x v="0"/>
    <n v="3"/>
    <x v="0"/>
    <x v="21"/>
    <x v="1"/>
    <x v="5"/>
    <x v="2"/>
  </r>
  <r>
    <s v="TX500814"/>
    <x v="3"/>
    <x v="7"/>
    <n v="79.7"/>
    <n v="797"/>
    <d v="2025-02-04T00:00:00"/>
    <d v="2025-02-05T00:00:00"/>
    <s v="F"/>
    <x v="4"/>
    <n v="3"/>
    <x v="0"/>
    <x v="21"/>
    <x v="3"/>
    <x v="5"/>
    <x v="2"/>
  </r>
  <r>
    <s v="TX500815"/>
    <x v="8"/>
    <x v="8"/>
    <n v="30.5"/>
    <n v="244"/>
    <d v="2025-02-04T00:00:00"/>
    <d v="2025-02-08T00:00:00"/>
    <s v="M"/>
    <x v="3"/>
    <n v="4"/>
    <x v="0"/>
    <x v="1"/>
    <x v="5"/>
    <x v="5"/>
    <x v="1"/>
  </r>
  <r>
    <s v="TX500816"/>
    <x v="0"/>
    <x v="1"/>
    <n v="20.8"/>
    <n v="41.6"/>
    <d v="2025-02-04T00:00:00"/>
    <d v="2025-02-05T00:00:00"/>
    <s v="F"/>
    <x v="0"/>
    <n v="4"/>
    <x v="0"/>
    <x v="2"/>
    <x v="3"/>
    <x v="5"/>
    <x v="2"/>
  </r>
  <r>
    <s v="TX500817"/>
    <x v="11"/>
    <x v="3"/>
    <n v="48.5"/>
    <n v="339.5"/>
    <d v="2025-02-04T00:00:00"/>
    <d v="2025-02-08T00:00:00"/>
    <s v="F"/>
    <x v="2"/>
    <n v="5"/>
    <x v="0"/>
    <x v="2"/>
    <x v="5"/>
    <x v="5"/>
    <x v="2"/>
  </r>
  <r>
    <s v="TX500818"/>
    <x v="2"/>
    <x v="12"/>
    <n v="61.8"/>
    <n v="247.2"/>
    <d v="2025-02-04T00:00:00"/>
    <d v="2025-02-08T00:00:00"/>
    <s v="F"/>
    <x v="4"/>
    <n v="4"/>
    <x v="0"/>
    <x v="22"/>
    <x v="5"/>
    <x v="5"/>
    <x v="2"/>
  </r>
  <r>
    <s v="TX500819"/>
    <x v="10"/>
    <x v="0"/>
    <n v="46.1"/>
    <n v="46.1"/>
    <d v="2025-02-04T00:00:00"/>
    <d v="2025-02-05T00:00:00"/>
    <s v="O"/>
    <x v="2"/>
    <n v="4"/>
    <x v="0"/>
    <x v="3"/>
    <x v="3"/>
    <x v="5"/>
    <x v="3"/>
  </r>
  <r>
    <s v="TX500820"/>
    <x v="4"/>
    <x v="13"/>
    <n v="44"/>
    <n v="264"/>
    <d v="2025-02-04T00:00:00"/>
    <d v="2025-02-05T00:00:00"/>
    <s v="F"/>
    <x v="0"/>
    <n v="4"/>
    <x v="0"/>
    <x v="3"/>
    <x v="3"/>
    <x v="5"/>
    <x v="2"/>
  </r>
  <r>
    <s v="TX500821"/>
    <x v="18"/>
    <x v="1"/>
    <n v="95.7"/>
    <n v="191.4"/>
    <d v="2025-02-04T00:00:00"/>
    <d v="2025-02-10T00:00:00"/>
    <s v="F"/>
    <x v="3"/>
    <n v="5"/>
    <x v="0"/>
    <x v="3"/>
    <x v="4"/>
    <x v="5"/>
    <x v="2"/>
  </r>
  <r>
    <s v="TX500822"/>
    <x v="7"/>
    <x v="9"/>
    <n v="46.4"/>
    <n v="232"/>
    <d v="2025-02-04T00:00:00"/>
    <d v="2025-02-07T00:00:00"/>
    <s v="F"/>
    <x v="0"/>
    <n v="4"/>
    <x v="0"/>
    <x v="3"/>
    <x v="2"/>
    <x v="5"/>
    <x v="2"/>
  </r>
  <r>
    <s v="TX500823"/>
    <x v="6"/>
    <x v="1"/>
    <n v="47.2"/>
    <n v="94.4"/>
    <d v="2025-02-04T00:00:00"/>
    <d v="2025-02-06T00:00:00"/>
    <s v="F"/>
    <x v="0"/>
    <n v="5"/>
    <x v="0"/>
    <x v="3"/>
    <x v="1"/>
    <x v="5"/>
    <x v="2"/>
  </r>
  <r>
    <s v="TX500824"/>
    <x v="7"/>
    <x v="1"/>
    <n v="58.6"/>
    <n v="117.2"/>
    <d v="2025-02-04T00:00:00"/>
    <d v="2025-02-05T00:00:00"/>
    <s v="F"/>
    <x v="2"/>
    <n v="3"/>
    <x v="0"/>
    <x v="3"/>
    <x v="3"/>
    <x v="5"/>
    <x v="2"/>
  </r>
  <r>
    <s v="TX500825"/>
    <x v="4"/>
    <x v="2"/>
    <n v="57"/>
    <n v="171"/>
    <d v="2025-02-04T00:00:00"/>
    <d v="2025-02-05T00:00:00"/>
    <s v="M"/>
    <x v="0"/>
    <n v="5"/>
    <x v="0"/>
    <x v="3"/>
    <x v="3"/>
    <x v="5"/>
    <x v="1"/>
  </r>
  <r>
    <s v="TX500826"/>
    <x v="8"/>
    <x v="12"/>
    <n v="28.9"/>
    <n v="115.6"/>
    <d v="2025-02-04T00:00:00"/>
    <d v="2025-02-08T00:00:00"/>
    <s v="M"/>
    <x v="2"/>
    <n v="4"/>
    <x v="0"/>
    <x v="3"/>
    <x v="5"/>
    <x v="5"/>
    <x v="1"/>
  </r>
  <r>
    <s v="TX500827"/>
    <x v="12"/>
    <x v="9"/>
    <n v="60.7"/>
    <n v="303.5"/>
    <d v="2025-02-04T00:00:00"/>
    <d v="2025-02-08T00:00:00"/>
    <s v=""/>
    <x v="1"/>
    <n v="3"/>
    <x v="0"/>
    <x v="3"/>
    <x v="5"/>
    <x v="5"/>
    <x v="0"/>
  </r>
  <r>
    <s v="TX500828"/>
    <x v="6"/>
    <x v="9"/>
    <n v="60.8"/>
    <n v="304"/>
    <d v="2025-02-04T00:00:00"/>
    <d v="2025-02-08T00:00:00"/>
    <s v="M"/>
    <x v="0"/>
    <n v="3"/>
    <x v="0"/>
    <x v="3"/>
    <x v="5"/>
    <x v="5"/>
    <x v="1"/>
  </r>
  <r>
    <s v="TX500829"/>
    <x v="6"/>
    <x v="9"/>
    <n v="64.599999999999994"/>
    <n v="323"/>
    <d v="2025-02-04T00:00:00"/>
    <d v="2025-02-05T00:00:00"/>
    <s v="F"/>
    <x v="3"/>
    <n v="4"/>
    <x v="0"/>
    <x v="3"/>
    <x v="3"/>
    <x v="5"/>
    <x v="2"/>
  </r>
  <r>
    <s v="TX500830"/>
    <x v="8"/>
    <x v="0"/>
    <n v="21.9"/>
    <n v="21.9"/>
    <d v="2025-02-04T00:00:00"/>
    <d v="2025-02-07T00:00:00"/>
    <s v="M"/>
    <x v="1"/>
    <n v="5"/>
    <x v="0"/>
    <x v="4"/>
    <x v="2"/>
    <x v="5"/>
    <x v="1"/>
  </r>
  <r>
    <s v="TX500831"/>
    <x v="4"/>
    <x v="4"/>
    <n v="33.4"/>
    <n v="400.79999999999995"/>
    <d v="2025-02-04T00:00:00"/>
    <d v="2025-02-06T00:00:00"/>
    <s v="F"/>
    <x v="0"/>
    <n v="4"/>
    <x v="0"/>
    <x v="23"/>
    <x v="1"/>
    <x v="5"/>
    <x v="2"/>
  </r>
  <r>
    <s v="TX500832"/>
    <x v="2"/>
    <x v="0"/>
    <n v="51.7"/>
    <n v="51.7"/>
    <d v="2025-02-04T00:00:00"/>
    <d v="2025-02-05T00:00:00"/>
    <s v=""/>
    <x v="0"/>
    <n v="4"/>
    <x v="0"/>
    <x v="6"/>
    <x v="3"/>
    <x v="5"/>
    <x v="0"/>
  </r>
  <r>
    <s v="TX500833"/>
    <x v="1"/>
    <x v="12"/>
    <n v="84.9"/>
    <n v="339.6"/>
    <d v="2025-02-04T00:00:00"/>
    <d v="2025-02-05T00:00:00"/>
    <s v="F"/>
    <x v="1"/>
    <n v="3"/>
    <x v="0"/>
    <x v="6"/>
    <x v="3"/>
    <x v="5"/>
    <x v="2"/>
  </r>
  <r>
    <s v="TX500834"/>
    <x v="1"/>
    <x v="5"/>
    <n v="62.3"/>
    <n v="685.3"/>
    <d v="2025-02-04T00:00:00"/>
    <d v="2025-02-05T00:00:00"/>
    <s v="F"/>
    <x v="2"/>
    <n v="5"/>
    <x v="0"/>
    <x v="7"/>
    <x v="3"/>
    <x v="5"/>
    <x v="2"/>
  </r>
  <r>
    <s v="TX500835"/>
    <x v="4"/>
    <x v="0"/>
    <n v="50.7"/>
    <n v="50.7"/>
    <d v="2025-02-04T00:00:00"/>
    <d v="2025-02-06T00:00:00"/>
    <s v="M"/>
    <x v="2"/>
    <n v="5"/>
    <x v="0"/>
    <x v="8"/>
    <x v="1"/>
    <x v="5"/>
    <x v="1"/>
  </r>
  <r>
    <s v="TX500836"/>
    <x v="18"/>
    <x v="0"/>
    <n v="39.5"/>
    <n v="39.5"/>
    <d v="2025-02-04T00:00:00"/>
    <d v="2025-02-05T00:00:00"/>
    <s v="M"/>
    <x v="4"/>
    <n v="3"/>
    <x v="0"/>
    <x v="8"/>
    <x v="3"/>
    <x v="5"/>
    <x v="1"/>
  </r>
  <r>
    <s v="TX500837"/>
    <x v="12"/>
    <x v="2"/>
    <n v="30.9"/>
    <n v="92.699999999999989"/>
    <d v="2025-02-04T00:00:00"/>
    <d v="2025-02-05T00:00:00"/>
    <s v=""/>
    <x v="4"/>
    <n v="5"/>
    <x v="0"/>
    <x v="8"/>
    <x v="3"/>
    <x v="5"/>
    <x v="0"/>
  </r>
  <r>
    <s v="TX500838"/>
    <x v="1"/>
    <x v="3"/>
    <n v="36.4"/>
    <n v="254.79999999999998"/>
    <d v="2025-02-04T00:00:00"/>
    <d v="2025-02-07T00:00:00"/>
    <s v="F"/>
    <x v="0"/>
    <n v="5"/>
    <x v="0"/>
    <x v="8"/>
    <x v="2"/>
    <x v="5"/>
    <x v="2"/>
  </r>
  <r>
    <s v="TX500839"/>
    <x v="6"/>
    <x v="8"/>
    <n v="105.6"/>
    <n v="844.8"/>
    <d v="2025-02-04T00:00:00"/>
    <d v="2025-02-14T00:00:00"/>
    <s v="F"/>
    <x v="0"/>
    <n v="4"/>
    <x v="0"/>
    <x v="8"/>
    <x v="14"/>
    <x v="5"/>
    <x v="2"/>
  </r>
  <r>
    <s v="TX500840"/>
    <x v="8"/>
    <x v="1"/>
    <n v="22.1"/>
    <n v="44.2"/>
    <d v="2025-02-04T00:00:00"/>
    <d v="2025-02-05T00:00:00"/>
    <s v="F"/>
    <x v="0"/>
    <n v="5"/>
    <x v="0"/>
    <x v="17"/>
    <x v="3"/>
    <x v="5"/>
    <x v="2"/>
  </r>
  <r>
    <s v="TX500841"/>
    <x v="0"/>
    <x v="2"/>
    <n v="22.6"/>
    <n v="67.800000000000011"/>
    <d v="2025-02-04T00:00:00"/>
    <d v="2025-02-05T00:00:00"/>
    <s v="F"/>
    <x v="2"/>
    <n v="4"/>
    <x v="0"/>
    <x v="17"/>
    <x v="3"/>
    <x v="5"/>
    <x v="2"/>
  </r>
  <r>
    <s v="TX500842"/>
    <x v="10"/>
    <x v="13"/>
    <n v="26.3"/>
    <n v="157.80000000000001"/>
    <d v="2025-02-04T00:00:00"/>
    <d v="2025-02-04T00:00:00"/>
    <s v="F"/>
    <x v="2"/>
    <n v="4"/>
    <x v="0"/>
    <x v="9"/>
    <x v="7"/>
    <x v="5"/>
    <x v="2"/>
  </r>
  <r>
    <s v="TX500843"/>
    <x v="1"/>
    <x v="12"/>
    <n v="37.799999999999997"/>
    <n v="151.19999999999999"/>
    <d v="2025-02-04T00:00:00"/>
    <d v="2025-02-05T00:00:00"/>
    <s v="F"/>
    <x v="0"/>
    <n v="5"/>
    <x v="0"/>
    <x v="11"/>
    <x v="3"/>
    <x v="5"/>
    <x v="2"/>
  </r>
  <r>
    <s v="TX500844"/>
    <x v="6"/>
    <x v="14"/>
    <n v="96"/>
    <n v="1632"/>
    <d v="2025-02-04T00:00:00"/>
    <d v="2025-02-07T00:00:00"/>
    <s v="F"/>
    <x v="4"/>
    <n v="3"/>
    <x v="0"/>
    <x v="18"/>
    <x v="2"/>
    <x v="5"/>
    <x v="2"/>
  </r>
  <r>
    <s v="TX500845"/>
    <x v="1"/>
    <x v="0"/>
    <n v="83.6"/>
    <n v="83.6"/>
    <d v="2025-02-04T00:00:00"/>
    <d v="2025-02-07T00:00:00"/>
    <s v="F"/>
    <x v="2"/>
    <n v="3"/>
    <x v="0"/>
    <x v="19"/>
    <x v="2"/>
    <x v="5"/>
    <x v="2"/>
  </r>
  <r>
    <s v="TX500846"/>
    <x v="2"/>
    <x v="13"/>
    <n v="72.599999999999994"/>
    <n v="435.59999999999997"/>
    <d v="2025-02-04T00:00:00"/>
    <d v="2025-02-05T00:00:00"/>
    <s v="F"/>
    <x v="0"/>
    <n v="4"/>
    <x v="0"/>
    <x v="21"/>
    <x v="3"/>
    <x v="5"/>
    <x v="2"/>
  </r>
  <r>
    <s v="TX500847"/>
    <x v="5"/>
    <x v="28"/>
    <n v="69.099999999999994"/>
    <n v="1382"/>
    <d v="2025-02-05T00:00:00"/>
    <d v="2025-02-11T00:00:00"/>
    <s v="M"/>
    <x v="0"/>
    <n v="5"/>
    <x v="0"/>
    <x v="21"/>
    <x v="4"/>
    <x v="5"/>
    <x v="1"/>
  </r>
  <r>
    <s v="TX500848"/>
    <x v="4"/>
    <x v="1"/>
    <n v="22.6"/>
    <n v="45.2"/>
    <d v="2025-02-05T00:00:00"/>
    <d v="2025-02-07T00:00:00"/>
    <s v="F"/>
    <x v="1"/>
    <n v="5"/>
    <x v="0"/>
    <x v="21"/>
    <x v="1"/>
    <x v="5"/>
    <x v="2"/>
  </r>
  <r>
    <s v="TX500849"/>
    <x v="6"/>
    <x v="1"/>
    <n v="45.3"/>
    <n v="90.6"/>
    <d v="2025-02-05T00:00:00"/>
    <d v="2025-02-09T00:00:00"/>
    <s v="M"/>
    <x v="4"/>
    <n v="5"/>
    <x v="0"/>
    <x v="21"/>
    <x v="5"/>
    <x v="5"/>
    <x v="1"/>
  </r>
  <r>
    <s v="TX500850"/>
    <x v="2"/>
    <x v="1"/>
    <n v="115.1"/>
    <n v="230.2"/>
    <d v="2025-02-05T00:00:00"/>
    <d v="2025-02-06T00:00:00"/>
    <s v="F"/>
    <x v="1"/>
    <n v="4"/>
    <x v="0"/>
    <x v="1"/>
    <x v="3"/>
    <x v="5"/>
    <x v="2"/>
  </r>
  <r>
    <s v="TX500851"/>
    <x v="18"/>
    <x v="12"/>
    <n v="79"/>
    <n v="316"/>
    <d v="2025-02-05T00:00:00"/>
    <d v="2025-02-07T00:00:00"/>
    <s v="M"/>
    <x v="2"/>
    <n v="2"/>
    <x v="0"/>
    <x v="1"/>
    <x v="1"/>
    <x v="5"/>
    <x v="1"/>
  </r>
  <r>
    <s v="TX500852"/>
    <x v="6"/>
    <x v="9"/>
    <n v="52.8"/>
    <n v="264"/>
    <d v="2025-02-05T00:00:00"/>
    <d v="2025-02-06T00:00:00"/>
    <s v="F"/>
    <x v="0"/>
    <n v="4"/>
    <x v="0"/>
    <x v="42"/>
    <x v="3"/>
    <x v="5"/>
    <x v="2"/>
  </r>
  <r>
    <s v="TX500853"/>
    <x v="8"/>
    <x v="1"/>
    <n v="34.1"/>
    <n v="68.2"/>
    <d v="2025-02-05T00:00:00"/>
    <d v="2025-02-06T00:00:00"/>
    <s v="M"/>
    <x v="3"/>
    <n v="5"/>
    <x v="0"/>
    <x v="44"/>
    <x v="3"/>
    <x v="5"/>
    <x v="1"/>
  </r>
  <r>
    <s v="TX500854"/>
    <x v="6"/>
    <x v="9"/>
    <n v="107.9"/>
    <n v="539.5"/>
    <d v="2025-02-05T00:00:00"/>
    <d v="2025-02-05T00:00:00"/>
    <s v="F"/>
    <x v="0"/>
    <n v="5"/>
    <x v="0"/>
    <x v="50"/>
    <x v="7"/>
    <x v="5"/>
    <x v="2"/>
  </r>
  <r>
    <s v="TX500855"/>
    <x v="8"/>
    <x v="15"/>
    <n v="48.5"/>
    <n v="630.5"/>
    <d v="2025-02-05T00:00:00"/>
    <d v="2025-02-05T00:00:00"/>
    <s v="M"/>
    <x v="2"/>
    <n v="5"/>
    <x v="0"/>
    <x v="3"/>
    <x v="7"/>
    <x v="5"/>
    <x v="1"/>
  </r>
  <r>
    <s v="TX500856"/>
    <x v="5"/>
    <x v="2"/>
    <n v="34.700000000000003"/>
    <n v="104.10000000000001"/>
    <d v="2025-02-05T00:00:00"/>
    <d v="2025-02-06T00:00:00"/>
    <s v=""/>
    <x v="4"/>
    <n v="3"/>
    <x v="0"/>
    <x v="3"/>
    <x v="3"/>
    <x v="5"/>
    <x v="0"/>
  </r>
  <r>
    <s v="TX500857"/>
    <x v="8"/>
    <x v="0"/>
    <n v="16.8"/>
    <n v="16.8"/>
    <d v="2025-02-05T00:00:00"/>
    <d v="2025-02-07T00:00:00"/>
    <s v="F"/>
    <x v="3"/>
    <n v="4"/>
    <x v="0"/>
    <x v="3"/>
    <x v="1"/>
    <x v="5"/>
    <x v="2"/>
  </r>
  <r>
    <s v="TX500858"/>
    <x v="8"/>
    <x v="13"/>
    <n v="18.3"/>
    <n v="109.80000000000001"/>
    <d v="2025-02-05T00:00:00"/>
    <d v="2025-02-08T00:00:00"/>
    <s v="F"/>
    <x v="0"/>
    <n v="4"/>
    <x v="0"/>
    <x v="3"/>
    <x v="2"/>
    <x v="5"/>
    <x v="2"/>
  </r>
  <r>
    <s v="TX500859"/>
    <x v="18"/>
    <x v="2"/>
    <n v="55.9"/>
    <n v="167.7"/>
    <d v="2025-02-05T00:00:00"/>
    <d v="2025-02-11T00:00:00"/>
    <s v="M"/>
    <x v="3"/>
    <n v="3"/>
    <x v="0"/>
    <x v="3"/>
    <x v="4"/>
    <x v="5"/>
    <x v="1"/>
  </r>
  <r>
    <s v="TX500860"/>
    <x v="8"/>
    <x v="2"/>
    <n v="39.200000000000003"/>
    <n v="117.60000000000001"/>
    <d v="2025-02-05T00:00:00"/>
    <d v="2025-02-07T00:00:00"/>
    <s v="F"/>
    <x v="0"/>
    <n v="3"/>
    <x v="0"/>
    <x v="3"/>
    <x v="1"/>
    <x v="5"/>
    <x v="2"/>
  </r>
  <r>
    <s v="TX500861"/>
    <x v="15"/>
    <x v="12"/>
    <n v="66.5"/>
    <n v="266"/>
    <d v="2025-02-05T00:00:00"/>
    <d v="2025-02-07T00:00:00"/>
    <s v=""/>
    <x v="3"/>
    <n v="3"/>
    <x v="0"/>
    <x v="3"/>
    <x v="1"/>
    <x v="5"/>
    <x v="0"/>
  </r>
  <r>
    <s v="TX500862"/>
    <x v="6"/>
    <x v="13"/>
    <n v="52.1"/>
    <n v="312.60000000000002"/>
    <d v="2025-02-05T00:00:00"/>
    <d v="2025-02-07T00:00:00"/>
    <s v="M"/>
    <x v="1"/>
    <n v="3"/>
    <x v="0"/>
    <x v="16"/>
    <x v="1"/>
    <x v="5"/>
    <x v="1"/>
  </r>
  <r>
    <s v="TX500863"/>
    <x v="8"/>
    <x v="1"/>
    <n v="19"/>
    <n v="38"/>
    <d v="2025-02-05T00:00:00"/>
    <d v="2025-02-06T00:00:00"/>
    <s v="M"/>
    <x v="4"/>
    <n v="5"/>
    <x v="0"/>
    <x v="6"/>
    <x v="3"/>
    <x v="5"/>
    <x v="1"/>
  </r>
  <r>
    <s v="TX500864"/>
    <x v="7"/>
    <x v="2"/>
    <n v="84.8"/>
    <n v="254.39999999999998"/>
    <d v="2025-02-05T00:00:00"/>
    <d v="2025-02-07T00:00:00"/>
    <s v="F"/>
    <x v="2"/>
    <n v="4"/>
    <x v="0"/>
    <x v="8"/>
    <x v="1"/>
    <x v="5"/>
    <x v="2"/>
  </r>
  <r>
    <s v="TX500865"/>
    <x v="2"/>
    <x v="12"/>
    <n v="63.9"/>
    <n v="255.6"/>
    <d v="2025-02-05T00:00:00"/>
    <d v="2025-02-08T00:00:00"/>
    <s v="F"/>
    <x v="0"/>
    <n v="4"/>
    <x v="0"/>
    <x v="8"/>
    <x v="2"/>
    <x v="5"/>
    <x v="2"/>
  </r>
  <r>
    <s v="TX500866"/>
    <x v="2"/>
    <x v="2"/>
    <n v="65.5"/>
    <n v="196.5"/>
    <d v="2025-02-05T00:00:00"/>
    <d v="2025-02-05T00:00:00"/>
    <s v="F"/>
    <x v="1"/>
    <n v="3"/>
    <x v="0"/>
    <x v="8"/>
    <x v="7"/>
    <x v="5"/>
    <x v="2"/>
  </r>
  <r>
    <s v="TX500867"/>
    <x v="12"/>
    <x v="1"/>
    <n v="116.2"/>
    <n v="232.4"/>
    <d v="2025-02-05T00:00:00"/>
    <d v="2025-02-11T00:00:00"/>
    <s v="M"/>
    <x v="3"/>
    <n v="4"/>
    <x v="0"/>
    <x v="17"/>
    <x v="4"/>
    <x v="5"/>
    <x v="1"/>
  </r>
  <r>
    <s v="TX500868"/>
    <x v="10"/>
    <x v="12"/>
    <n v="22.9"/>
    <n v="91.6"/>
    <d v="2025-02-05T00:00:00"/>
    <d v="2025-02-07T00:00:00"/>
    <s v="F"/>
    <x v="2"/>
    <n v="3"/>
    <x v="0"/>
    <x v="38"/>
    <x v="1"/>
    <x v="5"/>
    <x v="2"/>
  </r>
  <r>
    <s v="TX500869"/>
    <x v="10"/>
    <x v="2"/>
    <n v="53.7"/>
    <n v="161.10000000000002"/>
    <d v="2025-02-05T00:00:00"/>
    <d v="2025-02-06T00:00:00"/>
    <s v="M"/>
    <x v="0"/>
    <n v="2"/>
    <x v="0"/>
    <x v="18"/>
    <x v="3"/>
    <x v="5"/>
    <x v="1"/>
  </r>
  <r>
    <s v="TX500870"/>
    <x v="6"/>
    <x v="9"/>
    <n v="43.2"/>
    <n v="216"/>
    <d v="2025-02-05T00:00:00"/>
    <d v="2025-02-07T00:00:00"/>
    <s v="F"/>
    <x v="0"/>
    <n v="4"/>
    <x v="0"/>
    <x v="19"/>
    <x v="1"/>
    <x v="5"/>
    <x v="2"/>
  </r>
  <r>
    <s v="TX500871"/>
    <x v="1"/>
    <x v="2"/>
    <n v="84.5"/>
    <n v="253.5"/>
    <d v="2025-02-05T00:00:00"/>
    <d v="2025-02-07T00:00:00"/>
    <s v="M"/>
    <x v="2"/>
    <n v="5"/>
    <x v="0"/>
    <x v="51"/>
    <x v="1"/>
    <x v="5"/>
    <x v="1"/>
  </r>
  <r>
    <s v="TX500872"/>
    <x v="3"/>
    <x v="1"/>
    <n v="42.2"/>
    <n v="84.4"/>
    <d v="2025-02-05T00:00:00"/>
    <d v="2025-02-06T00:00:00"/>
    <s v="F"/>
    <x v="1"/>
    <n v="5"/>
    <x v="0"/>
    <x v="1"/>
    <x v="3"/>
    <x v="5"/>
    <x v="2"/>
  </r>
  <r>
    <s v="TX500873"/>
    <x v="2"/>
    <x v="13"/>
    <n v="94.7"/>
    <n v="568.20000000000005"/>
    <d v="2025-02-05T00:00:00"/>
    <d v="2025-02-08T00:00:00"/>
    <s v="F"/>
    <x v="1"/>
    <n v="5"/>
    <x v="0"/>
    <x v="2"/>
    <x v="2"/>
    <x v="5"/>
    <x v="2"/>
  </r>
  <r>
    <s v="TX500874"/>
    <x v="8"/>
    <x v="16"/>
    <n v="16.7"/>
    <n v="300.59999999999997"/>
    <d v="2025-02-05T00:00:00"/>
    <d v="2025-02-17T00:00:00"/>
    <s v="F"/>
    <x v="0"/>
    <n v="5"/>
    <x v="0"/>
    <x v="2"/>
    <x v="13"/>
    <x v="5"/>
    <x v="2"/>
  </r>
  <r>
    <s v="TX500875"/>
    <x v="2"/>
    <x v="1"/>
    <n v="83.6"/>
    <n v="167.2"/>
    <d v="2025-02-05T00:00:00"/>
    <d v="2025-02-11T00:00:00"/>
    <s v="F"/>
    <x v="1"/>
    <n v="4"/>
    <x v="0"/>
    <x v="3"/>
    <x v="4"/>
    <x v="5"/>
    <x v="2"/>
  </r>
  <r>
    <s v="TX500876"/>
    <x v="7"/>
    <x v="13"/>
    <n v="33.6"/>
    <n v="201.60000000000002"/>
    <d v="2025-02-06T00:00:00"/>
    <d v="2025-02-07T00:00:00"/>
    <s v="F"/>
    <x v="3"/>
    <n v="4"/>
    <x v="0"/>
    <x v="3"/>
    <x v="3"/>
    <x v="5"/>
    <x v="2"/>
  </r>
  <r>
    <s v="TX500877"/>
    <x v="7"/>
    <x v="1"/>
    <n v="64.7"/>
    <n v="129.4"/>
    <d v="2025-02-06T00:00:00"/>
    <d v="2025-02-08T00:00:00"/>
    <s v="M"/>
    <x v="1"/>
    <n v="5"/>
    <x v="0"/>
    <x v="3"/>
    <x v="1"/>
    <x v="5"/>
    <x v="1"/>
  </r>
  <r>
    <s v="TX500878"/>
    <x v="0"/>
    <x v="2"/>
    <n v="15.7"/>
    <n v="47.099999999999994"/>
    <d v="2025-02-06T00:00:00"/>
    <d v="2025-02-12T00:00:00"/>
    <s v="F"/>
    <x v="0"/>
    <n v="4"/>
    <x v="0"/>
    <x v="3"/>
    <x v="4"/>
    <x v="5"/>
    <x v="2"/>
  </r>
  <r>
    <s v="TX500879"/>
    <x v="15"/>
    <x v="13"/>
    <n v="49.4"/>
    <n v="296.39999999999998"/>
    <d v="2025-02-06T00:00:00"/>
    <d v="2025-02-06T00:00:00"/>
    <s v="M"/>
    <x v="1"/>
    <n v="4"/>
    <x v="0"/>
    <x v="3"/>
    <x v="7"/>
    <x v="5"/>
    <x v="1"/>
  </r>
  <r>
    <s v="TX500880"/>
    <x v="10"/>
    <x v="13"/>
    <n v="37"/>
    <n v="222"/>
    <d v="2025-02-06T00:00:00"/>
    <d v="2025-02-09T00:00:00"/>
    <s v="F"/>
    <x v="1"/>
    <n v="5"/>
    <x v="0"/>
    <x v="3"/>
    <x v="2"/>
    <x v="5"/>
    <x v="2"/>
  </r>
  <r>
    <s v="TX500881"/>
    <x v="2"/>
    <x v="1"/>
    <n v="83.7"/>
    <n v="167.4"/>
    <d v="2025-02-06T00:00:00"/>
    <d v="2025-02-08T00:00:00"/>
    <s v="F"/>
    <x v="3"/>
    <n v="5"/>
    <x v="0"/>
    <x v="3"/>
    <x v="1"/>
    <x v="5"/>
    <x v="2"/>
  </r>
  <r>
    <s v="TX500882"/>
    <x v="1"/>
    <x v="9"/>
    <n v="35.1"/>
    <n v="175.5"/>
    <d v="2025-02-06T00:00:00"/>
    <d v="2025-02-07T00:00:00"/>
    <s v="F"/>
    <x v="0"/>
    <n v="4"/>
    <x v="0"/>
    <x v="3"/>
    <x v="3"/>
    <x v="5"/>
    <x v="2"/>
  </r>
  <r>
    <s v="TX500883"/>
    <x v="16"/>
    <x v="8"/>
    <n v="74"/>
    <n v="592"/>
    <d v="2025-02-06T00:00:00"/>
    <d v="2025-02-07T00:00:00"/>
    <s v="F"/>
    <x v="4"/>
    <n v="4"/>
    <x v="0"/>
    <x v="37"/>
    <x v="3"/>
    <x v="5"/>
    <x v="2"/>
  </r>
  <r>
    <s v="TX500884"/>
    <x v="6"/>
    <x v="25"/>
    <n v="55.5"/>
    <n v="1332"/>
    <d v="2025-02-06T00:00:00"/>
    <d v="2025-02-09T00:00:00"/>
    <s v="M"/>
    <x v="3"/>
    <n v="4"/>
    <x v="0"/>
    <x v="49"/>
    <x v="2"/>
    <x v="5"/>
    <x v="1"/>
  </r>
  <r>
    <s v="TX500885"/>
    <x v="11"/>
    <x v="1"/>
    <n v="38.9"/>
    <n v="77.8"/>
    <d v="2025-02-06T00:00:00"/>
    <d v="2025-02-08T00:00:00"/>
    <s v="F"/>
    <x v="1"/>
    <n v="5"/>
    <x v="0"/>
    <x v="25"/>
    <x v="1"/>
    <x v="5"/>
    <x v="2"/>
  </r>
  <r>
    <s v="TX500886"/>
    <x v="16"/>
    <x v="1"/>
    <n v="64.599999999999994"/>
    <n v="129.19999999999999"/>
    <d v="2025-02-06T00:00:00"/>
    <d v="2025-02-13T00:00:00"/>
    <s v="M"/>
    <x v="2"/>
    <n v="3"/>
    <x v="0"/>
    <x v="25"/>
    <x v="6"/>
    <x v="5"/>
    <x v="1"/>
  </r>
  <r>
    <s v="TX500887"/>
    <x v="2"/>
    <x v="2"/>
    <n v="95.3"/>
    <n v="285.89999999999998"/>
    <d v="2025-02-06T00:00:00"/>
    <d v="2025-02-07T00:00:00"/>
    <s v="M"/>
    <x v="0"/>
    <n v="4"/>
    <x v="0"/>
    <x v="5"/>
    <x v="3"/>
    <x v="5"/>
    <x v="1"/>
  </r>
  <r>
    <s v="TX500888"/>
    <x v="13"/>
    <x v="2"/>
    <n v="25.8"/>
    <n v="77.400000000000006"/>
    <d v="2025-02-06T00:00:00"/>
    <d v="2025-02-07T00:00:00"/>
    <s v="F"/>
    <x v="1"/>
    <n v="3"/>
    <x v="0"/>
    <x v="6"/>
    <x v="3"/>
    <x v="5"/>
    <x v="2"/>
  </r>
  <r>
    <s v="TX500889"/>
    <x v="0"/>
    <x v="1"/>
    <n v="11.6"/>
    <n v="23.2"/>
    <d v="2025-02-06T00:00:00"/>
    <d v="2025-02-10T00:00:00"/>
    <s v="F"/>
    <x v="1"/>
    <n v="3"/>
    <x v="0"/>
    <x v="6"/>
    <x v="5"/>
    <x v="5"/>
    <x v="2"/>
  </r>
  <r>
    <s v="TX500890"/>
    <x v="7"/>
    <x v="0"/>
    <n v="52.3"/>
    <n v="52.3"/>
    <d v="2025-02-06T00:00:00"/>
    <d v="2025-02-07T00:00:00"/>
    <s v="F"/>
    <x v="1"/>
    <n v="4"/>
    <x v="0"/>
    <x v="8"/>
    <x v="3"/>
    <x v="5"/>
    <x v="2"/>
  </r>
  <r>
    <s v="TX500891"/>
    <x v="2"/>
    <x v="7"/>
    <n v="112.2"/>
    <n v="1122"/>
    <d v="2025-02-06T00:00:00"/>
    <d v="2025-02-07T00:00:00"/>
    <s v="F"/>
    <x v="1"/>
    <n v="3"/>
    <x v="0"/>
    <x v="8"/>
    <x v="3"/>
    <x v="5"/>
    <x v="2"/>
  </r>
  <r>
    <s v="TX500892"/>
    <x v="4"/>
    <x v="9"/>
    <n v="34.6"/>
    <n v="173"/>
    <d v="2025-02-06T00:00:00"/>
    <d v="2025-02-08T00:00:00"/>
    <s v="M"/>
    <x v="2"/>
    <n v="4"/>
    <x v="0"/>
    <x v="8"/>
    <x v="1"/>
    <x v="5"/>
    <x v="1"/>
  </r>
  <r>
    <s v="TX500893"/>
    <x v="14"/>
    <x v="12"/>
    <n v="20.100000000000001"/>
    <n v="80.400000000000006"/>
    <d v="2025-02-06T00:00:00"/>
    <d v="2025-02-12T00:00:00"/>
    <s v="M"/>
    <x v="1"/>
    <n v="5"/>
    <x v="0"/>
    <x v="8"/>
    <x v="4"/>
    <x v="5"/>
    <x v="1"/>
  </r>
  <r>
    <s v="TX500894"/>
    <x v="2"/>
    <x v="12"/>
    <n v="56.4"/>
    <n v="225.6"/>
    <d v="2025-02-06T00:00:00"/>
    <d v="2025-02-08T00:00:00"/>
    <s v="F"/>
    <x v="2"/>
    <n v="4"/>
    <x v="0"/>
    <x v="10"/>
    <x v="1"/>
    <x v="5"/>
    <x v="2"/>
  </r>
  <r>
    <s v="TX500895"/>
    <x v="13"/>
    <x v="11"/>
    <n v="55.3"/>
    <n v="497.7"/>
    <d v="2025-02-06T00:00:00"/>
    <d v="2025-02-08T00:00:00"/>
    <s v="F"/>
    <x v="1"/>
    <n v="2"/>
    <x v="0"/>
    <x v="11"/>
    <x v="1"/>
    <x v="5"/>
    <x v="2"/>
  </r>
  <r>
    <s v="TX500896"/>
    <x v="2"/>
    <x v="31"/>
    <n v="75.5"/>
    <n v="2114"/>
    <d v="2025-02-06T00:00:00"/>
    <d v="2025-02-07T00:00:00"/>
    <s v="F"/>
    <x v="0"/>
    <n v="4"/>
    <x v="0"/>
    <x v="11"/>
    <x v="3"/>
    <x v="5"/>
    <x v="2"/>
  </r>
  <r>
    <s v="TX500897"/>
    <x v="8"/>
    <x v="0"/>
    <n v="23.6"/>
    <n v="23.6"/>
    <d v="2025-02-06T00:00:00"/>
    <d v="2025-02-11T00:00:00"/>
    <s v="F"/>
    <x v="0"/>
    <n v="4"/>
    <x v="0"/>
    <x v="19"/>
    <x v="0"/>
    <x v="5"/>
    <x v="2"/>
  </r>
  <r>
    <s v="TX500898"/>
    <x v="9"/>
    <x v="1"/>
    <n v="70.7"/>
    <n v="141.4"/>
    <d v="2025-02-06T00:00:00"/>
    <d v="2025-02-08T00:00:00"/>
    <s v="F"/>
    <x v="2"/>
    <n v="4"/>
    <x v="0"/>
    <x v="19"/>
    <x v="1"/>
    <x v="5"/>
    <x v="2"/>
  </r>
  <r>
    <s v="TX500899"/>
    <x v="12"/>
    <x v="1"/>
    <n v="43.2"/>
    <n v="86.4"/>
    <d v="2025-02-06T00:00:00"/>
    <d v="2025-02-07T00:00:00"/>
    <s v="F"/>
    <x v="2"/>
    <n v="4"/>
    <x v="0"/>
    <x v="31"/>
    <x v="3"/>
    <x v="5"/>
    <x v="2"/>
  </r>
  <r>
    <s v="TX500900"/>
    <x v="9"/>
    <x v="11"/>
    <n v="70"/>
    <n v="630"/>
    <d v="2025-02-06T00:00:00"/>
    <d v="2025-02-07T00:00:00"/>
    <s v=""/>
    <x v="1"/>
    <n v="4"/>
    <x v="0"/>
    <x v="52"/>
    <x v="3"/>
    <x v="5"/>
    <x v="0"/>
  </r>
  <r>
    <s v="TX500901"/>
    <x v="0"/>
    <x v="1"/>
    <n v="20.5"/>
    <n v="41"/>
    <d v="2025-02-06T00:00:00"/>
    <d v="2025-02-08T00:00:00"/>
    <s v="F"/>
    <x v="2"/>
    <n v="2"/>
    <x v="0"/>
    <x v="13"/>
    <x v="1"/>
    <x v="5"/>
    <x v="2"/>
  </r>
  <r>
    <s v="TX500902"/>
    <x v="0"/>
    <x v="12"/>
    <n v="29.1"/>
    <n v="116.4"/>
    <d v="2025-02-06T00:00:00"/>
    <d v="2025-02-07T00:00:00"/>
    <s v="F"/>
    <x v="3"/>
    <n v="4"/>
    <x v="0"/>
    <x v="28"/>
    <x v="3"/>
    <x v="5"/>
    <x v="2"/>
  </r>
  <r>
    <s v="TX500903"/>
    <x v="6"/>
    <x v="11"/>
    <n v="53.6"/>
    <n v="482.40000000000003"/>
    <d v="2025-02-06T00:00:00"/>
    <d v="2025-02-07T00:00:00"/>
    <s v="M"/>
    <x v="2"/>
    <n v="3"/>
    <x v="0"/>
    <x v="3"/>
    <x v="3"/>
    <x v="5"/>
    <x v="1"/>
  </r>
  <r>
    <s v="TX500904"/>
    <x v="6"/>
    <x v="9"/>
    <n v="72.3"/>
    <n v="361.5"/>
    <d v="2025-02-06T00:00:00"/>
    <d v="2025-02-08T00:00:00"/>
    <s v="F"/>
    <x v="1"/>
    <n v="4"/>
    <x v="0"/>
    <x v="3"/>
    <x v="1"/>
    <x v="5"/>
    <x v="2"/>
  </r>
  <r>
    <s v="TX500905"/>
    <x v="13"/>
    <x v="12"/>
    <n v="22.6"/>
    <n v="90.4"/>
    <d v="2025-02-06T00:00:00"/>
    <d v="2025-02-09T00:00:00"/>
    <s v="O"/>
    <x v="0"/>
    <n v="3"/>
    <x v="0"/>
    <x v="3"/>
    <x v="2"/>
    <x v="5"/>
    <x v="3"/>
  </r>
  <r>
    <s v="TX500906"/>
    <x v="9"/>
    <x v="1"/>
    <n v="44.2"/>
    <n v="88.4"/>
    <d v="2025-02-06T00:00:00"/>
    <d v="2025-02-10T00:00:00"/>
    <s v=""/>
    <x v="2"/>
    <n v="2"/>
    <x v="0"/>
    <x v="3"/>
    <x v="5"/>
    <x v="5"/>
    <x v="0"/>
  </r>
  <r>
    <s v="TX500907"/>
    <x v="9"/>
    <x v="2"/>
    <n v="94.1"/>
    <n v="282.29999999999995"/>
    <d v="2025-02-06T00:00:00"/>
    <d v="2025-02-19T00:00:00"/>
    <s v="F"/>
    <x v="2"/>
    <n v="5"/>
    <x v="0"/>
    <x v="3"/>
    <x v="10"/>
    <x v="5"/>
    <x v="2"/>
  </r>
  <r>
    <s v="TX500908"/>
    <x v="8"/>
    <x v="2"/>
    <n v="17.899999999999999"/>
    <n v="53.699999999999996"/>
    <d v="2025-02-06T00:00:00"/>
    <d v="2025-02-08T00:00:00"/>
    <s v="M"/>
    <x v="1"/>
    <n v="3"/>
    <x v="0"/>
    <x v="3"/>
    <x v="1"/>
    <x v="5"/>
    <x v="1"/>
  </r>
  <r>
    <s v="TX500909"/>
    <x v="12"/>
    <x v="3"/>
    <n v="52.7"/>
    <n v="368.90000000000003"/>
    <d v="2025-02-06T00:00:00"/>
    <d v="2025-02-07T00:00:00"/>
    <s v="M"/>
    <x v="1"/>
    <n v="3"/>
    <x v="0"/>
    <x v="3"/>
    <x v="3"/>
    <x v="5"/>
    <x v="1"/>
  </r>
  <r>
    <s v="TX500910"/>
    <x v="8"/>
    <x v="0"/>
    <n v="36.799999999999997"/>
    <n v="36.799999999999997"/>
    <d v="2025-02-06T00:00:00"/>
    <d v="2025-02-06T00:00:00"/>
    <s v=""/>
    <x v="0"/>
    <n v="5"/>
    <x v="0"/>
    <x v="3"/>
    <x v="7"/>
    <x v="5"/>
    <x v="0"/>
  </r>
  <r>
    <s v="TX500911"/>
    <x v="4"/>
    <x v="0"/>
    <n v="52.5"/>
    <n v="52.5"/>
    <d v="2025-02-06T00:00:00"/>
    <d v="2025-02-07T00:00:00"/>
    <s v="M"/>
    <x v="0"/>
    <n v="3"/>
    <x v="0"/>
    <x v="6"/>
    <x v="3"/>
    <x v="5"/>
    <x v="1"/>
  </r>
  <r>
    <s v="TX500912"/>
    <x v="2"/>
    <x v="1"/>
    <n v="133.80000000000001"/>
    <n v="267.60000000000002"/>
    <d v="2025-02-06T00:00:00"/>
    <d v="2025-02-08T00:00:00"/>
    <s v="M"/>
    <x v="0"/>
    <n v="3"/>
    <x v="0"/>
    <x v="7"/>
    <x v="1"/>
    <x v="5"/>
    <x v="1"/>
  </r>
  <r>
    <s v="TX500913"/>
    <x v="6"/>
    <x v="1"/>
    <n v="53.2"/>
    <n v="106.4"/>
    <d v="2025-02-06T00:00:00"/>
    <d v="2025-02-08T00:00:00"/>
    <s v="M"/>
    <x v="0"/>
    <n v="4"/>
    <x v="0"/>
    <x v="17"/>
    <x v="1"/>
    <x v="5"/>
    <x v="1"/>
  </r>
  <r>
    <s v="TX500914"/>
    <x v="14"/>
    <x v="13"/>
    <n v="18.7"/>
    <n v="112.19999999999999"/>
    <d v="2025-02-06T00:00:00"/>
    <d v="2025-02-08T00:00:00"/>
    <s v=""/>
    <x v="0"/>
    <n v="3"/>
    <x v="0"/>
    <x v="10"/>
    <x v="1"/>
    <x v="5"/>
    <x v="0"/>
  </r>
  <r>
    <s v="TX500915"/>
    <x v="6"/>
    <x v="12"/>
    <n v="108.8"/>
    <n v="435.2"/>
    <d v="2025-02-06T00:00:00"/>
    <d v="2025-02-07T00:00:00"/>
    <s v="F"/>
    <x v="3"/>
    <n v="5"/>
    <x v="0"/>
    <x v="11"/>
    <x v="3"/>
    <x v="5"/>
    <x v="2"/>
  </r>
  <r>
    <s v="TX500916"/>
    <x v="15"/>
    <x v="9"/>
    <n v="38.5"/>
    <n v="192.5"/>
    <d v="2025-02-06T00:00:00"/>
    <d v="2025-02-10T00:00:00"/>
    <s v="F"/>
    <x v="0"/>
    <n v="3"/>
    <x v="0"/>
    <x v="14"/>
    <x v="5"/>
    <x v="5"/>
    <x v="2"/>
  </r>
  <r>
    <s v="TX500917"/>
    <x v="10"/>
    <x v="7"/>
    <n v="46.5"/>
    <n v="465"/>
    <d v="2025-02-06T00:00:00"/>
    <d v="2025-02-08T00:00:00"/>
    <s v="M"/>
    <x v="2"/>
    <n v="3"/>
    <x v="0"/>
    <x v="2"/>
    <x v="1"/>
    <x v="5"/>
    <x v="1"/>
  </r>
  <r>
    <s v="TX500918"/>
    <x v="2"/>
    <x v="2"/>
    <n v="75.8"/>
    <n v="227.39999999999998"/>
    <d v="2025-02-06T00:00:00"/>
    <d v="2025-02-10T00:00:00"/>
    <s v="F"/>
    <x v="1"/>
    <n v="2"/>
    <x v="0"/>
    <x v="44"/>
    <x v="5"/>
    <x v="5"/>
    <x v="2"/>
  </r>
  <r>
    <s v="TX500919"/>
    <x v="8"/>
    <x v="0"/>
    <n v="20.9"/>
    <n v="20.9"/>
    <d v="2025-02-06T00:00:00"/>
    <d v="2025-02-10T00:00:00"/>
    <s v="M"/>
    <x v="0"/>
    <n v="4"/>
    <x v="0"/>
    <x v="22"/>
    <x v="5"/>
    <x v="5"/>
    <x v="1"/>
  </r>
  <r>
    <s v="TX500920"/>
    <x v="18"/>
    <x v="2"/>
    <n v="47.4"/>
    <n v="142.19999999999999"/>
    <d v="2025-02-06T00:00:00"/>
    <d v="2025-02-09T00:00:00"/>
    <s v="F"/>
    <x v="0"/>
    <n v="4"/>
    <x v="0"/>
    <x v="3"/>
    <x v="2"/>
    <x v="5"/>
    <x v="2"/>
  </r>
  <r>
    <s v="TX500921"/>
    <x v="9"/>
    <x v="1"/>
    <n v="53.8"/>
    <n v="107.6"/>
    <d v="2025-02-06T00:00:00"/>
    <d v="2025-02-07T00:00:00"/>
    <s v=""/>
    <x v="0"/>
    <n v="3"/>
    <x v="0"/>
    <x v="3"/>
    <x v="3"/>
    <x v="5"/>
    <x v="0"/>
  </r>
  <r>
    <s v="TX500922"/>
    <x v="8"/>
    <x v="2"/>
    <n v="24.6"/>
    <n v="73.800000000000011"/>
    <d v="2025-02-06T00:00:00"/>
    <d v="2025-02-08T00:00:00"/>
    <s v="O"/>
    <x v="1"/>
    <n v="5"/>
    <x v="0"/>
    <x v="3"/>
    <x v="1"/>
    <x v="5"/>
    <x v="3"/>
  </r>
  <r>
    <s v="TX500923"/>
    <x v="9"/>
    <x v="2"/>
    <n v="70.900000000000006"/>
    <n v="212.70000000000002"/>
    <d v="2025-02-06T00:00:00"/>
    <d v="2025-02-11T00:00:00"/>
    <s v="F"/>
    <x v="2"/>
    <n v="5"/>
    <x v="0"/>
    <x v="3"/>
    <x v="0"/>
    <x v="5"/>
    <x v="2"/>
  </r>
  <r>
    <s v="TX500924"/>
    <x v="17"/>
    <x v="2"/>
    <n v="31.9"/>
    <n v="95.699999999999989"/>
    <d v="2025-02-06T00:00:00"/>
    <d v="2025-02-08T00:00:00"/>
    <s v="F"/>
    <x v="2"/>
    <n v="5"/>
    <x v="0"/>
    <x v="3"/>
    <x v="1"/>
    <x v="5"/>
    <x v="2"/>
  </r>
  <r>
    <s v="TX500925"/>
    <x v="0"/>
    <x v="1"/>
    <n v="20.399999999999999"/>
    <n v="40.799999999999997"/>
    <d v="2025-02-06T00:00:00"/>
    <d v="2025-02-10T00:00:00"/>
    <s v="M"/>
    <x v="3"/>
    <n v="5"/>
    <x v="0"/>
    <x v="3"/>
    <x v="5"/>
    <x v="5"/>
    <x v="1"/>
  </r>
  <r>
    <s v="TX500926"/>
    <x v="8"/>
    <x v="1"/>
    <n v="18.600000000000001"/>
    <n v="37.200000000000003"/>
    <d v="2025-02-06T00:00:00"/>
    <d v="2025-02-08T00:00:00"/>
    <s v=""/>
    <x v="0"/>
    <n v="3"/>
    <x v="0"/>
    <x v="3"/>
    <x v="1"/>
    <x v="5"/>
    <x v="0"/>
  </r>
  <r>
    <s v="TX500927"/>
    <x v="4"/>
    <x v="9"/>
    <n v="48.3"/>
    <n v="241.5"/>
    <d v="2025-02-06T00:00:00"/>
    <d v="2025-02-08T00:00:00"/>
    <s v="F"/>
    <x v="1"/>
    <n v="4"/>
    <x v="0"/>
    <x v="3"/>
    <x v="1"/>
    <x v="5"/>
    <x v="2"/>
  </r>
  <r>
    <s v="TX500928"/>
    <x v="0"/>
    <x v="12"/>
    <n v="27.7"/>
    <n v="110.8"/>
    <d v="2025-02-06T00:00:00"/>
    <d v="2025-02-08T00:00:00"/>
    <s v="F"/>
    <x v="0"/>
    <n v="4"/>
    <x v="0"/>
    <x v="3"/>
    <x v="1"/>
    <x v="5"/>
    <x v="2"/>
  </r>
  <r>
    <s v="TX500929"/>
    <x v="4"/>
    <x v="9"/>
    <n v="22.5"/>
    <n v="112.5"/>
    <d v="2025-02-06T00:00:00"/>
    <d v="2025-02-08T00:00:00"/>
    <s v="F"/>
    <x v="4"/>
    <n v="5"/>
    <x v="0"/>
    <x v="3"/>
    <x v="1"/>
    <x v="5"/>
    <x v="2"/>
  </r>
  <r>
    <s v="TX500930"/>
    <x v="17"/>
    <x v="9"/>
    <n v="21.6"/>
    <n v="108"/>
    <d v="2025-02-06T00:00:00"/>
    <d v="2025-02-14T00:00:00"/>
    <s v="F"/>
    <x v="0"/>
    <n v="3"/>
    <x v="0"/>
    <x v="3"/>
    <x v="9"/>
    <x v="5"/>
    <x v="2"/>
  </r>
  <r>
    <s v="TX500931"/>
    <x v="10"/>
    <x v="3"/>
    <n v="26.3"/>
    <n v="184.1"/>
    <d v="2025-02-06T00:00:00"/>
    <d v="2025-02-06T00:00:00"/>
    <s v="F"/>
    <x v="2"/>
    <n v="3"/>
    <x v="0"/>
    <x v="3"/>
    <x v="7"/>
    <x v="5"/>
    <x v="2"/>
  </r>
  <r>
    <s v="TX500932"/>
    <x v="6"/>
    <x v="3"/>
    <n v="103"/>
    <n v="721"/>
    <d v="2025-02-07T00:00:00"/>
    <d v="2025-02-08T00:00:00"/>
    <s v="M"/>
    <x v="0"/>
    <n v="5"/>
    <x v="0"/>
    <x v="6"/>
    <x v="3"/>
    <x v="5"/>
    <x v="1"/>
  </r>
  <r>
    <s v="TX500933"/>
    <x v="5"/>
    <x v="20"/>
    <n v="46.6"/>
    <n v="699"/>
    <d v="2025-02-07T00:00:00"/>
    <d v="2025-02-08T00:00:00"/>
    <s v="F"/>
    <x v="0"/>
    <n v="3"/>
    <x v="0"/>
    <x v="6"/>
    <x v="3"/>
    <x v="5"/>
    <x v="2"/>
  </r>
  <r>
    <s v="TX500934"/>
    <x v="0"/>
    <x v="9"/>
    <n v="32.200000000000003"/>
    <n v="161"/>
    <d v="2025-02-07T00:00:00"/>
    <d v="2025-02-10T00:00:00"/>
    <s v="F"/>
    <x v="0"/>
    <n v="5"/>
    <x v="0"/>
    <x v="36"/>
    <x v="2"/>
    <x v="5"/>
    <x v="2"/>
  </r>
  <r>
    <s v="TX500935"/>
    <x v="8"/>
    <x v="2"/>
    <n v="22"/>
    <n v="66"/>
    <d v="2025-02-07T00:00:00"/>
    <d v="2025-02-14T00:00:00"/>
    <s v="M"/>
    <x v="1"/>
    <n v="4"/>
    <x v="0"/>
    <x v="7"/>
    <x v="6"/>
    <x v="5"/>
    <x v="1"/>
  </r>
  <r>
    <s v="TX500936"/>
    <x v="0"/>
    <x v="1"/>
    <n v="25.2"/>
    <n v="50.4"/>
    <d v="2025-02-07T00:00:00"/>
    <d v="2025-02-11T00:00:00"/>
    <s v="F"/>
    <x v="0"/>
    <n v="4"/>
    <x v="0"/>
    <x v="7"/>
    <x v="5"/>
    <x v="5"/>
    <x v="2"/>
  </r>
  <r>
    <s v="TX500937"/>
    <x v="1"/>
    <x v="13"/>
    <n v="68.7"/>
    <n v="412.20000000000005"/>
    <d v="2025-02-07T00:00:00"/>
    <d v="2025-02-09T00:00:00"/>
    <s v="M"/>
    <x v="4"/>
    <n v="4"/>
    <x v="0"/>
    <x v="8"/>
    <x v="1"/>
    <x v="5"/>
    <x v="1"/>
  </r>
  <r>
    <s v="TX500938"/>
    <x v="0"/>
    <x v="2"/>
    <n v="22.2"/>
    <n v="66.599999999999994"/>
    <d v="2025-02-07T00:00:00"/>
    <d v="2025-02-10T00:00:00"/>
    <s v="M"/>
    <x v="2"/>
    <n v="5"/>
    <x v="0"/>
    <x v="8"/>
    <x v="2"/>
    <x v="5"/>
    <x v="1"/>
  </r>
  <r>
    <s v="TX500939"/>
    <x v="1"/>
    <x v="3"/>
    <n v="36"/>
    <n v="252"/>
    <d v="2025-02-07T00:00:00"/>
    <d v="2025-02-08T00:00:00"/>
    <s v="F"/>
    <x v="1"/>
    <n v="4"/>
    <x v="0"/>
    <x v="8"/>
    <x v="3"/>
    <x v="5"/>
    <x v="2"/>
  </r>
  <r>
    <s v="TX500940"/>
    <x v="18"/>
    <x v="0"/>
    <n v="50.6"/>
    <n v="50.6"/>
    <d v="2025-02-07T00:00:00"/>
    <d v="2025-02-09T00:00:00"/>
    <s v="F"/>
    <x v="0"/>
    <n v="3"/>
    <x v="0"/>
    <x v="8"/>
    <x v="1"/>
    <x v="5"/>
    <x v="2"/>
  </r>
  <r>
    <s v="TX500941"/>
    <x v="15"/>
    <x v="1"/>
    <n v="44.9"/>
    <n v="89.8"/>
    <d v="2025-02-07T00:00:00"/>
    <d v="2025-02-09T00:00:00"/>
    <s v="M"/>
    <x v="0"/>
    <n v="3"/>
    <x v="0"/>
    <x v="8"/>
    <x v="1"/>
    <x v="5"/>
    <x v="1"/>
  </r>
  <r>
    <s v="TX500942"/>
    <x v="6"/>
    <x v="2"/>
    <n v="71.599999999999994"/>
    <n v="214.79999999999998"/>
    <d v="2025-02-07T00:00:00"/>
    <d v="2025-02-11T00:00:00"/>
    <s v="M"/>
    <x v="1"/>
    <n v="5"/>
    <x v="0"/>
    <x v="10"/>
    <x v="5"/>
    <x v="5"/>
    <x v="1"/>
  </r>
  <r>
    <s v="TX500943"/>
    <x v="6"/>
    <x v="13"/>
    <n v="51.5"/>
    <n v="309"/>
    <d v="2025-02-07T00:00:00"/>
    <d v="2025-02-09T00:00:00"/>
    <s v=""/>
    <x v="4"/>
    <n v="4"/>
    <x v="0"/>
    <x v="11"/>
    <x v="1"/>
    <x v="5"/>
    <x v="0"/>
  </r>
  <r>
    <s v="TX500944"/>
    <x v="7"/>
    <x v="9"/>
    <n v="55.5"/>
    <n v="277.5"/>
    <d v="2025-02-07T00:00:00"/>
    <d v="2025-02-08T00:00:00"/>
    <s v="M"/>
    <x v="1"/>
    <n v="3"/>
    <x v="0"/>
    <x v="11"/>
    <x v="3"/>
    <x v="5"/>
    <x v="1"/>
  </r>
  <r>
    <s v="TX500945"/>
    <x v="6"/>
    <x v="0"/>
    <n v="51.7"/>
    <n v="51.7"/>
    <d v="2025-02-07T00:00:00"/>
    <d v="2025-02-21T00:00:00"/>
    <s v="M"/>
    <x v="2"/>
    <n v="4"/>
    <x v="0"/>
    <x v="19"/>
    <x v="12"/>
    <x v="5"/>
    <x v="1"/>
  </r>
  <r>
    <s v="TX500946"/>
    <x v="8"/>
    <x v="38"/>
    <n v="45.5"/>
    <n v="955.5"/>
    <d v="2025-02-07T00:00:00"/>
    <d v="2025-02-08T00:00:00"/>
    <s v="F"/>
    <x v="3"/>
    <n v="5"/>
    <x v="0"/>
    <x v="19"/>
    <x v="3"/>
    <x v="5"/>
    <x v="2"/>
  </r>
  <r>
    <s v="TX500947"/>
    <x v="8"/>
    <x v="1"/>
    <n v="33.799999999999997"/>
    <n v="67.599999999999994"/>
    <d v="2025-02-07T00:00:00"/>
    <d v="2025-02-13T00:00:00"/>
    <s v="F"/>
    <x v="3"/>
    <n v="4"/>
    <x v="0"/>
    <x v="20"/>
    <x v="4"/>
    <x v="5"/>
    <x v="2"/>
  </r>
  <r>
    <s v="TX500948"/>
    <x v="3"/>
    <x v="2"/>
    <n v="76.5"/>
    <n v="229.5"/>
    <d v="2025-02-07T00:00:00"/>
    <d v="2025-02-08T00:00:00"/>
    <s v="F"/>
    <x v="0"/>
    <n v="3"/>
    <x v="0"/>
    <x v="21"/>
    <x v="3"/>
    <x v="5"/>
    <x v="2"/>
  </r>
  <r>
    <s v="TX500949"/>
    <x v="9"/>
    <x v="2"/>
    <n v="42.6"/>
    <n v="127.80000000000001"/>
    <d v="2025-02-07T00:00:00"/>
    <d v="2025-02-13T00:00:00"/>
    <s v="F"/>
    <x v="2"/>
    <n v="5"/>
    <x v="0"/>
    <x v="2"/>
    <x v="4"/>
    <x v="5"/>
    <x v="2"/>
  </r>
  <r>
    <s v="TX500950"/>
    <x v="6"/>
    <x v="2"/>
    <n v="44.1"/>
    <n v="132.30000000000001"/>
    <d v="2025-02-07T00:00:00"/>
    <d v="2025-02-09T00:00:00"/>
    <s v="F"/>
    <x v="1"/>
    <n v="3"/>
    <x v="0"/>
    <x v="22"/>
    <x v="1"/>
    <x v="5"/>
    <x v="2"/>
  </r>
  <r>
    <s v="TX500951"/>
    <x v="8"/>
    <x v="1"/>
    <n v="40.9"/>
    <n v="81.8"/>
    <d v="2025-02-07T00:00:00"/>
    <d v="2025-02-11T00:00:00"/>
    <s v="M"/>
    <x v="0"/>
    <n v="4"/>
    <x v="0"/>
    <x v="3"/>
    <x v="5"/>
    <x v="5"/>
    <x v="1"/>
  </r>
  <r>
    <s v="TX500952"/>
    <x v="9"/>
    <x v="2"/>
    <n v="49.1"/>
    <n v="147.30000000000001"/>
    <d v="2025-02-07T00:00:00"/>
    <d v="2025-02-11T00:00:00"/>
    <s v="F"/>
    <x v="3"/>
    <n v="3"/>
    <x v="0"/>
    <x v="3"/>
    <x v="5"/>
    <x v="5"/>
    <x v="2"/>
  </r>
  <r>
    <s v="TX500953"/>
    <x v="18"/>
    <x v="0"/>
    <n v="85.3"/>
    <n v="85.3"/>
    <d v="2025-02-07T00:00:00"/>
    <d v="2025-02-11T00:00:00"/>
    <s v="M"/>
    <x v="1"/>
    <n v="3"/>
    <x v="0"/>
    <x v="3"/>
    <x v="5"/>
    <x v="5"/>
    <x v="1"/>
  </r>
  <r>
    <s v="TX500954"/>
    <x v="6"/>
    <x v="12"/>
    <n v="43.1"/>
    <n v="172.4"/>
    <d v="2025-02-08T00:00:00"/>
    <d v="2025-02-11T00:00:00"/>
    <s v="M"/>
    <x v="0"/>
    <n v="4"/>
    <x v="0"/>
    <x v="3"/>
    <x v="2"/>
    <x v="5"/>
    <x v="1"/>
  </r>
  <r>
    <s v="TX500955"/>
    <x v="4"/>
    <x v="12"/>
    <n v="46.2"/>
    <n v="184.8"/>
    <d v="2025-02-08T00:00:00"/>
    <d v="2025-02-09T00:00:00"/>
    <s v="M"/>
    <x v="2"/>
    <n v="4"/>
    <x v="0"/>
    <x v="3"/>
    <x v="3"/>
    <x v="5"/>
    <x v="1"/>
  </r>
  <r>
    <s v="TX500956"/>
    <x v="1"/>
    <x v="0"/>
    <n v="74.400000000000006"/>
    <n v="74.400000000000006"/>
    <d v="2025-02-08T00:00:00"/>
    <d v="2025-02-10T00:00:00"/>
    <s v="M"/>
    <x v="4"/>
    <n v="5"/>
    <x v="0"/>
    <x v="3"/>
    <x v="1"/>
    <x v="5"/>
    <x v="1"/>
  </r>
  <r>
    <s v="TX500957"/>
    <x v="17"/>
    <x v="1"/>
    <n v="51.2"/>
    <n v="102.4"/>
    <d v="2025-02-08T00:00:00"/>
    <d v="2025-02-09T00:00:00"/>
    <s v="M"/>
    <x v="1"/>
    <n v="4"/>
    <x v="0"/>
    <x v="3"/>
    <x v="3"/>
    <x v="5"/>
    <x v="1"/>
  </r>
  <r>
    <s v="TX500958"/>
    <x v="14"/>
    <x v="12"/>
    <n v="11.8"/>
    <n v="47.2"/>
    <d v="2025-02-08T00:00:00"/>
    <d v="2025-02-08T00:00:00"/>
    <s v="M"/>
    <x v="2"/>
    <n v="4"/>
    <x v="0"/>
    <x v="3"/>
    <x v="7"/>
    <x v="5"/>
    <x v="1"/>
  </r>
  <r>
    <s v="TX500959"/>
    <x v="10"/>
    <x v="6"/>
    <n v="40.799999999999997"/>
    <n v="1101.5999999999999"/>
    <d v="2025-02-08T00:00:00"/>
    <d v="2025-02-09T00:00:00"/>
    <s v="F"/>
    <x v="3"/>
    <n v="5"/>
    <x v="0"/>
    <x v="3"/>
    <x v="3"/>
    <x v="5"/>
    <x v="2"/>
  </r>
  <r>
    <s v="TX500960"/>
    <x v="8"/>
    <x v="0"/>
    <n v="24.7"/>
    <n v="24.7"/>
    <d v="2025-02-08T00:00:00"/>
    <d v="2025-02-10T00:00:00"/>
    <s v="F"/>
    <x v="2"/>
    <n v="3"/>
    <x v="0"/>
    <x v="3"/>
    <x v="1"/>
    <x v="5"/>
    <x v="2"/>
  </r>
  <r>
    <s v="TX500961"/>
    <x v="8"/>
    <x v="3"/>
    <n v="22.1"/>
    <n v="154.70000000000002"/>
    <d v="2025-02-08T00:00:00"/>
    <d v="2025-02-08T00:00:00"/>
    <s v="F"/>
    <x v="2"/>
    <n v="2"/>
    <x v="0"/>
    <x v="3"/>
    <x v="7"/>
    <x v="5"/>
    <x v="2"/>
  </r>
  <r>
    <s v="TX500962"/>
    <x v="8"/>
    <x v="0"/>
    <n v="18.100000000000001"/>
    <n v="18.100000000000001"/>
    <d v="2025-02-08T00:00:00"/>
    <d v="2025-02-12T00:00:00"/>
    <s v="M"/>
    <x v="3"/>
    <n v="5"/>
    <x v="0"/>
    <x v="3"/>
    <x v="5"/>
    <x v="5"/>
    <x v="1"/>
  </r>
  <r>
    <s v="TX500963"/>
    <x v="17"/>
    <x v="1"/>
    <n v="58.8"/>
    <n v="117.6"/>
    <d v="2025-02-08T00:00:00"/>
    <d v="2025-02-11T00:00:00"/>
    <s v="F"/>
    <x v="0"/>
    <n v="4"/>
    <x v="0"/>
    <x v="25"/>
    <x v="2"/>
    <x v="5"/>
    <x v="2"/>
  </r>
  <r>
    <s v="TX500964"/>
    <x v="18"/>
    <x v="1"/>
    <n v="30.8"/>
    <n v="61.6"/>
    <d v="2025-02-08T00:00:00"/>
    <d v="2025-02-09T00:00:00"/>
    <s v="F"/>
    <x v="0"/>
    <n v="4"/>
    <x v="0"/>
    <x v="6"/>
    <x v="3"/>
    <x v="5"/>
    <x v="2"/>
  </r>
  <r>
    <s v="TX500965"/>
    <x v="0"/>
    <x v="1"/>
    <n v="12"/>
    <n v="24"/>
    <d v="2025-02-08T00:00:00"/>
    <d v="2025-02-12T00:00:00"/>
    <s v="F"/>
    <x v="0"/>
    <n v="4"/>
    <x v="0"/>
    <x v="6"/>
    <x v="5"/>
    <x v="5"/>
    <x v="2"/>
  </r>
  <r>
    <s v="TX500966"/>
    <x v="0"/>
    <x v="12"/>
    <n v="13.6"/>
    <n v="54.4"/>
    <d v="2025-02-08T00:00:00"/>
    <d v="2025-02-11T00:00:00"/>
    <s v="M"/>
    <x v="2"/>
    <n v="4"/>
    <x v="0"/>
    <x v="6"/>
    <x v="2"/>
    <x v="5"/>
    <x v="1"/>
  </r>
  <r>
    <s v="TX500967"/>
    <x v="0"/>
    <x v="0"/>
    <n v="17.899999999999999"/>
    <n v="17.899999999999999"/>
    <d v="2025-02-08T00:00:00"/>
    <d v="2025-02-09T00:00:00"/>
    <s v="M"/>
    <x v="3"/>
    <n v="4"/>
    <x v="0"/>
    <x v="6"/>
    <x v="3"/>
    <x v="5"/>
    <x v="1"/>
  </r>
  <r>
    <s v="TX500968"/>
    <x v="9"/>
    <x v="1"/>
    <n v="38.6"/>
    <n v="77.2"/>
    <d v="2025-02-08T00:00:00"/>
    <d v="2025-02-12T00:00:00"/>
    <s v="F"/>
    <x v="4"/>
    <n v="4"/>
    <x v="0"/>
    <x v="7"/>
    <x v="5"/>
    <x v="5"/>
    <x v="2"/>
  </r>
  <r>
    <s v="TX500969"/>
    <x v="5"/>
    <x v="9"/>
    <n v="32.700000000000003"/>
    <n v="163.5"/>
    <d v="2025-02-08T00:00:00"/>
    <d v="2025-02-09T00:00:00"/>
    <s v="M"/>
    <x v="2"/>
    <n v="5"/>
    <x v="0"/>
    <x v="8"/>
    <x v="3"/>
    <x v="5"/>
    <x v="1"/>
  </r>
  <r>
    <s v="TX500970"/>
    <x v="3"/>
    <x v="1"/>
    <n v="111.4"/>
    <n v="222.8"/>
    <d v="2025-02-08T00:00:00"/>
    <d v="2025-02-09T00:00:00"/>
    <s v="F"/>
    <x v="1"/>
    <n v="4"/>
    <x v="0"/>
    <x v="8"/>
    <x v="3"/>
    <x v="5"/>
    <x v="2"/>
  </r>
  <r>
    <s v="TX500971"/>
    <x v="2"/>
    <x v="13"/>
    <n v="80.3"/>
    <n v="481.79999999999995"/>
    <d v="2025-02-08T00:00:00"/>
    <d v="2025-02-10T00:00:00"/>
    <s v="F"/>
    <x v="1"/>
    <n v="4"/>
    <x v="0"/>
    <x v="8"/>
    <x v="1"/>
    <x v="5"/>
    <x v="2"/>
  </r>
  <r>
    <s v="TX500972"/>
    <x v="6"/>
    <x v="1"/>
    <n v="58.9"/>
    <n v="117.8"/>
    <d v="2025-02-08T00:00:00"/>
    <d v="2025-02-09T00:00:00"/>
    <s v="M"/>
    <x v="1"/>
    <n v="4"/>
    <x v="0"/>
    <x v="8"/>
    <x v="3"/>
    <x v="5"/>
    <x v="1"/>
  </r>
  <r>
    <s v="TX500973"/>
    <x v="6"/>
    <x v="2"/>
    <n v="51.9"/>
    <n v="155.69999999999999"/>
    <d v="2025-02-08T00:00:00"/>
    <d v="2025-02-10T00:00:00"/>
    <s v="F"/>
    <x v="1"/>
    <n v="2"/>
    <x v="0"/>
    <x v="8"/>
    <x v="1"/>
    <x v="5"/>
    <x v="2"/>
  </r>
  <r>
    <s v="TX500974"/>
    <x v="2"/>
    <x v="2"/>
    <n v="50.3"/>
    <n v="150.89999999999998"/>
    <d v="2025-02-08T00:00:00"/>
    <d v="2025-02-09T00:00:00"/>
    <s v="M"/>
    <x v="2"/>
    <n v="4"/>
    <x v="0"/>
    <x v="17"/>
    <x v="3"/>
    <x v="5"/>
    <x v="1"/>
  </r>
  <r>
    <s v="TX500975"/>
    <x v="11"/>
    <x v="13"/>
    <n v="45"/>
    <n v="270"/>
    <d v="2025-02-08T00:00:00"/>
    <d v="2025-02-14T00:00:00"/>
    <s v="F"/>
    <x v="3"/>
    <n v="4"/>
    <x v="0"/>
    <x v="9"/>
    <x v="4"/>
    <x v="5"/>
    <x v="2"/>
  </r>
  <r>
    <s v="TX500976"/>
    <x v="10"/>
    <x v="13"/>
    <n v="44.7"/>
    <n v="268.20000000000005"/>
    <d v="2025-02-08T00:00:00"/>
    <d v="2025-02-10T00:00:00"/>
    <s v="F"/>
    <x v="2"/>
    <n v="4"/>
    <x v="0"/>
    <x v="11"/>
    <x v="1"/>
    <x v="5"/>
    <x v="2"/>
  </r>
  <r>
    <s v="TX500977"/>
    <x v="18"/>
    <x v="20"/>
    <n v="33"/>
    <n v="495"/>
    <d v="2025-02-08T00:00:00"/>
    <d v="2025-02-09T00:00:00"/>
    <s v="F"/>
    <x v="2"/>
    <n v="4"/>
    <x v="0"/>
    <x v="11"/>
    <x v="3"/>
    <x v="5"/>
    <x v="2"/>
  </r>
  <r>
    <s v="TX500978"/>
    <x v="1"/>
    <x v="9"/>
    <n v="44.9"/>
    <n v="224.5"/>
    <d v="2025-02-08T00:00:00"/>
    <d v="2025-02-11T00:00:00"/>
    <s v="F"/>
    <x v="2"/>
    <n v="5"/>
    <x v="0"/>
    <x v="18"/>
    <x v="2"/>
    <x v="5"/>
    <x v="2"/>
  </r>
  <r>
    <s v="TX500979"/>
    <x v="10"/>
    <x v="1"/>
    <n v="34.6"/>
    <n v="69.2"/>
    <d v="2025-02-08T00:00:00"/>
    <d v="2025-02-12T00:00:00"/>
    <s v="F"/>
    <x v="0"/>
    <n v="3"/>
    <x v="0"/>
    <x v="19"/>
    <x v="5"/>
    <x v="5"/>
    <x v="2"/>
  </r>
  <r>
    <s v="TX500980"/>
    <x v="7"/>
    <x v="3"/>
    <n v="47.1"/>
    <n v="329.7"/>
    <d v="2025-02-08T00:00:00"/>
    <d v="2025-02-13T00:00:00"/>
    <s v="F"/>
    <x v="0"/>
    <n v="4"/>
    <x v="0"/>
    <x v="13"/>
    <x v="0"/>
    <x v="5"/>
    <x v="2"/>
  </r>
  <r>
    <s v="TX500981"/>
    <x v="4"/>
    <x v="9"/>
    <n v="26.1"/>
    <n v="130.5"/>
    <d v="2025-02-08T00:00:00"/>
    <d v="2025-02-13T00:00:00"/>
    <s v="M"/>
    <x v="0"/>
    <n v="5"/>
    <x v="0"/>
    <x v="21"/>
    <x v="0"/>
    <x v="5"/>
    <x v="1"/>
  </r>
  <r>
    <s v="TX500982"/>
    <x v="12"/>
    <x v="9"/>
    <n v="66.8"/>
    <n v="334"/>
    <d v="2025-02-08T00:00:00"/>
    <d v="2025-02-11T00:00:00"/>
    <s v="F"/>
    <x v="0"/>
    <n v="4"/>
    <x v="0"/>
    <x v="21"/>
    <x v="2"/>
    <x v="5"/>
    <x v="2"/>
  </r>
  <r>
    <s v="TX500983"/>
    <x v="2"/>
    <x v="1"/>
    <n v="167.9"/>
    <n v="335.8"/>
    <d v="2025-02-08T00:00:00"/>
    <d v="2025-02-09T00:00:00"/>
    <s v="F"/>
    <x v="3"/>
    <n v="5"/>
    <x v="0"/>
    <x v="21"/>
    <x v="3"/>
    <x v="5"/>
    <x v="2"/>
  </r>
  <r>
    <s v="TX500984"/>
    <x v="10"/>
    <x v="11"/>
    <n v="34.6"/>
    <n v="311.40000000000003"/>
    <d v="2025-02-08T00:00:00"/>
    <d v="2025-02-09T00:00:00"/>
    <s v="F"/>
    <x v="2"/>
    <n v="3"/>
    <x v="0"/>
    <x v="21"/>
    <x v="3"/>
    <x v="5"/>
    <x v="2"/>
  </r>
  <r>
    <s v="TX500985"/>
    <x v="8"/>
    <x v="2"/>
    <n v="35.1"/>
    <n v="105.30000000000001"/>
    <d v="2025-02-09T00:00:00"/>
    <d v="2025-02-13T00:00:00"/>
    <s v="M"/>
    <x v="4"/>
    <n v="5"/>
    <x v="0"/>
    <x v="1"/>
    <x v="5"/>
    <x v="6"/>
    <x v="1"/>
  </r>
  <r>
    <s v="TX500986"/>
    <x v="6"/>
    <x v="12"/>
    <n v="104.5"/>
    <n v="418"/>
    <d v="2025-02-09T00:00:00"/>
    <d v="2025-02-10T00:00:00"/>
    <s v="M"/>
    <x v="1"/>
    <n v="3"/>
    <x v="0"/>
    <x v="1"/>
    <x v="3"/>
    <x v="6"/>
    <x v="1"/>
  </r>
  <r>
    <s v="TX500987"/>
    <x v="8"/>
    <x v="0"/>
    <n v="37.9"/>
    <n v="37.9"/>
    <d v="2025-02-09T00:00:00"/>
    <d v="2025-02-11T00:00:00"/>
    <s v=""/>
    <x v="1"/>
    <n v="5"/>
    <x v="0"/>
    <x v="2"/>
    <x v="1"/>
    <x v="6"/>
    <x v="0"/>
  </r>
  <r>
    <s v="TX500988"/>
    <x v="4"/>
    <x v="2"/>
    <n v="25.5"/>
    <n v="76.5"/>
    <d v="2025-02-09T00:00:00"/>
    <d v="2025-02-12T00:00:00"/>
    <s v="M"/>
    <x v="3"/>
    <n v="4"/>
    <x v="0"/>
    <x v="2"/>
    <x v="2"/>
    <x v="6"/>
    <x v="1"/>
  </r>
  <r>
    <s v="TX500989"/>
    <x v="0"/>
    <x v="2"/>
    <n v="32"/>
    <n v="96"/>
    <d v="2025-02-09T00:00:00"/>
    <d v="2025-02-13T00:00:00"/>
    <s v="F"/>
    <x v="1"/>
    <n v="4"/>
    <x v="0"/>
    <x v="22"/>
    <x v="5"/>
    <x v="6"/>
    <x v="2"/>
  </r>
  <r>
    <s v="TX500990"/>
    <x v="1"/>
    <x v="0"/>
    <n v="47.1"/>
    <n v="47.1"/>
    <d v="2025-02-09T00:00:00"/>
    <d v="2025-02-10T00:00:00"/>
    <s v="F"/>
    <x v="0"/>
    <n v="4"/>
    <x v="0"/>
    <x v="34"/>
    <x v="3"/>
    <x v="6"/>
    <x v="2"/>
  </r>
  <r>
    <s v="TX500991"/>
    <x v="6"/>
    <x v="1"/>
    <n v="50.6"/>
    <n v="101.2"/>
    <d v="2025-02-09T00:00:00"/>
    <d v="2025-02-15T00:00:00"/>
    <s v=""/>
    <x v="0"/>
    <n v="4"/>
    <x v="0"/>
    <x v="3"/>
    <x v="4"/>
    <x v="6"/>
    <x v="0"/>
  </r>
  <r>
    <s v="TX500992"/>
    <x v="6"/>
    <x v="9"/>
    <n v="81.7"/>
    <n v="408.5"/>
    <d v="2025-02-09T00:00:00"/>
    <d v="2025-02-10T00:00:00"/>
    <s v="F"/>
    <x v="1"/>
    <n v="5"/>
    <x v="0"/>
    <x v="3"/>
    <x v="3"/>
    <x v="6"/>
    <x v="2"/>
  </r>
  <r>
    <s v="TX500993"/>
    <x v="5"/>
    <x v="1"/>
    <n v="50.7"/>
    <n v="101.4"/>
    <d v="2025-02-09T00:00:00"/>
    <d v="2025-02-10T00:00:00"/>
    <s v="O"/>
    <x v="2"/>
    <n v="5"/>
    <x v="0"/>
    <x v="3"/>
    <x v="3"/>
    <x v="6"/>
    <x v="3"/>
  </r>
  <r>
    <s v="TX500994"/>
    <x v="2"/>
    <x v="10"/>
    <n v="67.3"/>
    <n v="1278.7"/>
    <d v="2025-02-09T00:00:00"/>
    <d v="2025-02-13T00:00:00"/>
    <s v="F"/>
    <x v="2"/>
    <n v="4"/>
    <x v="0"/>
    <x v="3"/>
    <x v="5"/>
    <x v="6"/>
    <x v="2"/>
  </r>
  <r>
    <s v="TX500995"/>
    <x v="2"/>
    <x v="12"/>
    <n v="64.8"/>
    <n v="259.2"/>
    <d v="2025-02-09T00:00:00"/>
    <d v="2025-02-12T00:00:00"/>
    <s v="F"/>
    <x v="3"/>
    <n v="4"/>
    <x v="0"/>
    <x v="3"/>
    <x v="2"/>
    <x v="6"/>
    <x v="2"/>
  </r>
  <r>
    <s v="TX500996"/>
    <x v="5"/>
    <x v="32"/>
    <n v="61.3"/>
    <n v="1348.6"/>
    <d v="2025-02-09T00:00:00"/>
    <d v="2025-02-10T00:00:00"/>
    <s v="F"/>
    <x v="0"/>
    <n v="5"/>
    <x v="0"/>
    <x v="3"/>
    <x v="3"/>
    <x v="6"/>
    <x v="2"/>
  </r>
  <r>
    <s v="TX500997"/>
    <x v="14"/>
    <x v="0"/>
    <n v="32.9"/>
    <n v="32.9"/>
    <d v="2025-02-09T00:00:00"/>
    <d v="2025-02-12T00:00:00"/>
    <s v="F"/>
    <x v="4"/>
    <n v="4"/>
    <x v="0"/>
    <x v="3"/>
    <x v="2"/>
    <x v="6"/>
    <x v="2"/>
  </r>
  <r>
    <s v="TX500998"/>
    <x v="6"/>
    <x v="1"/>
    <n v="100.8"/>
    <n v="201.6"/>
    <d v="2025-02-09T00:00:00"/>
    <d v="2025-02-12T00:00:00"/>
    <s v="F"/>
    <x v="0"/>
    <n v="4"/>
    <x v="0"/>
    <x v="3"/>
    <x v="2"/>
    <x v="6"/>
    <x v="2"/>
  </r>
  <r>
    <s v="TX500999"/>
    <x v="8"/>
    <x v="12"/>
    <n v="25.1"/>
    <n v="100.4"/>
    <d v="2025-02-09T00:00:00"/>
    <d v="2025-02-11T00:00:00"/>
    <s v="F"/>
    <x v="1"/>
    <n v="4"/>
    <x v="0"/>
    <x v="3"/>
    <x v="1"/>
    <x v="6"/>
    <x v="2"/>
  </r>
  <r>
    <s v="TX501000"/>
    <x v="17"/>
    <x v="0"/>
    <n v="48.5"/>
    <n v="48.5"/>
    <d v="2025-02-09T00:00:00"/>
    <d v="2025-02-10T00:00:00"/>
    <s v="F"/>
    <x v="0"/>
    <n v="3"/>
    <x v="0"/>
    <x v="3"/>
    <x v="3"/>
    <x v="6"/>
    <x v="2"/>
  </r>
  <r>
    <s v="TX501001"/>
    <x v="7"/>
    <x v="1"/>
    <n v="33.6"/>
    <n v="67.2"/>
    <d v="2025-02-09T00:00:00"/>
    <d v="2025-02-13T00:00:00"/>
    <s v="F"/>
    <x v="2"/>
    <n v="5"/>
    <x v="0"/>
    <x v="3"/>
    <x v="5"/>
    <x v="6"/>
    <x v="2"/>
  </r>
  <r>
    <s v="TX501002"/>
    <x v="8"/>
    <x v="0"/>
    <n v="39.299999999999997"/>
    <n v="39.299999999999997"/>
    <d v="2025-02-09T00:00:00"/>
    <d v="2025-02-20T00:00:00"/>
    <s v="F"/>
    <x v="1"/>
    <n v="3"/>
    <x v="0"/>
    <x v="49"/>
    <x v="11"/>
    <x v="6"/>
    <x v="2"/>
  </r>
  <r>
    <s v="TX501003"/>
    <x v="4"/>
    <x v="7"/>
    <n v="48.8"/>
    <n v="488"/>
    <d v="2025-02-09T00:00:00"/>
    <d v="2025-02-11T00:00:00"/>
    <s v="F"/>
    <x v="3"/>
    <n v="3"/>
    <x v="0"/>
    <x v="25"/>
    <x v="1"/>
    <x v="6"/>
    <x v="2"/>
  </r>
  <r>
    <s v="TX501004"/>
    <x v="6"/>
    <x v="8"/>
    <n v="72.8"/>
    <n v="582.4"/>
    <d v="2025-02-09T00:00:00"/>
    <d v="2025-02-11T00:00:00"/>
    <s v="M"/>
    <x v="1"/>
    <n v="5"/>
    <x v="0"/>
    <x v="5"/>
    <x v="1"/>
    <x v="6"/>
    <x v="1"/>
  </r>
  <r>
    <s v="TX501005"/>
    <x v="10"/>
    <x v="8"/>
    <n v="46.2"/>
    <n v="369.6"/>
    <d v="2025-02-09T00:00:00"/>
    <d v="2025-02-10T00:00:00"/>
    <s v="M"/>
    <x v="3"/>
    <n v="2"/>
    <x v="0"/>
    <x v="5"/>
    <x v="3"/>
    <x v="6"/>
    <x v="1"/>
  </r>
  <r>
    <s v="TX501006"/>
    <x v="4"/>
    <x v="1"/>
    <n v="20.7"/>
    <n v="41.4"/>
    <d v="2025-02-09T00:00:00"/>
    <d v="2025-02-10T00:00:00"/>
    <s v="F"/>
    <x v="2"/>
    <n v="1"/>
    <x v="0"/>
    <x v="6"/>
    <x v="3"/>
    <x v="6"/>
    <x v="2"/>
  </r>
  <r>
    <s v="TX501007"/>
    <x v="0"/>
    <x v="0"/>
    <n v="35.700000000000003"/>
    <n v="35.700000000000003"/>
    <d v="2025-02-09T00:00:00"/>
    <d v="2025-02-11T00:00:00"/>
    <s v="F"/>
    <x v="3"/>
    <n v="4"/>
    <x v="0"/>
    <x v="6"/>
    <x v="1"/>
    <x v="6"/>
    <x v="2"/>
  </r>
  <r>
    <s v="TX501008"/>
    <x v="2"/>
    <x v="27"/>
    <n v="166.2"/>
    <n v="2659.2"/>
    <d v="2025-02-09T00:00:00"/>
    <d v="2025-02-11T00:00:00"/>
    <s v=""/>
    <x v="2"/>
    <n v="4"/>
    <x v="0"/>
    <x v="7"/>
    <x v="1"/>
    <x v="6"/>
    <x v="0"/>
  </r>
  <r>
    <s v="TX501009"/>
    <x v="6"/>
    <x v="12"/>
    <n v="85.8"/>
    <n v="343.2"/>
    <d v="2025-02-09T00:00:00"/>
    <d v="2025-02-10T00:00:00"/>
    <s v="F"/>
    <x v="1"/>
    <n v="3"/>
    <x v="0"/>
    <x v="7"/>
    <x v="3"/>
    <x v="6"/>
    <x v="2"/>
  </r>
  <r>
    <s v="TX501010"/>
    <x v="8"/>
    <x v="2"/>
    <n v="26"/>
    <n v="78"/>
    <d v="2025-02-09T00:00:00"/>
    <d v="2025-02-11T00:00:00"/>
    <s v="O"/>
    <x v="1"/>
    <n v="4"/>
    <x v="0"/>
    <x v="7"/>
    <x v="1"/>
    <x v="6"/>
    <x v="3"/>
  </r>
  <r>
    <s v="TX501011"/>
    <x v="2"/>
    <x v="15"/>
    <n v="116.6"/>
    <n v="1515.8"/>
    <d v="2025-02-09T00:00:00"/>
    <d v="2025-02-12T00:00:00"/>
    <s v="F"/>
    <x v="0"/>
    <n v="4"/>
    <x v="0"/>
    <x v="8"/>
    <x v="2"/>
    <x v="6"/>
    <x v="2"/>
  </r>
  <r>
    <s v="TX501012"/>
    <x v="9"/>
    <x v="3"/>
    <n v="53.9"/>
    <n v="377.3"/>
    <d v="2025-02-09T00:00:00"/>
    <d v="2025-02-12T00:00:00"/>
    <s v="O"/>
    <x v="0"/>
    <n v="5"/>
    <x v="0"/>
    <x v="8"/>
    <x v="2"/>
    <x v="6"/>
    <x v="3"/>
  </r>
  <r>
    <s v="TX501013"/>
    <x v="12"/>
    <x v="9"/>
    <n v="72.3"/>
    <n v="361.5"/>
    <d v="2025-02-09T00:00:00"/>
    <d v="2025-02-11T00:00:00"/>
    <s v=""/>
    <x v="2"/>
    <n v="5"/>
    <x v="0"/>
    <x v="8"/>
    <x v="1"/>
    <x v="6"/>
    <x v="0"/>
  </r>
  <r>
    <s v="TX501014"/>
    <x v="5"/>
    <x v="1"/>
    <n v="31.4"/>
    <n v="62.8"/>
    <d v="2025-02-09T00:00:00"/>
    <d v="2025-02-11T00:00:00"/>
    <s v="F"/>
    <x v="0"/>
    <n v="4"/>
    <x v="0"/>
    <x v="8"/>
    <x v="1"/>
    <x v="6"/>
    <x v="2"/>
  </r>
  <r>
    <s v="TX501015"/>
    <x v="13"/>
    <x v="1"/>
    <n v="53.1"/>
    <n v="106.2"/>
    <d v="2025-02-09T00:00:00"/>
    <d v="2025-02-12T00:00:00"/>
    <s v="M"/>
    <x v="1"/>
    <n v="4"/>
    <x v="0"/>
    <x v="8"/>
    <x v="2"/>
    <x v="6"/>
    <x v="1"/>
  </r>
  <r>
    <s v="TX501016"/>
    <x v="2"/>
    <x v="12"/>
    <n v="56.2"/>
    <n v="224.8"/>
    <d v="2025-02-09T00:00:00"/>
    <d v="2025-02-10T00:00:00"/>
    <s v="F"/>
    <x v="0"/>
    <n v="4"/>
    <x v="0"/>
    <x v="8"/>
    <x v="3"/>
    <x v="6"/>
    <x v="2"/>
  </r>
  <r>
    <s v="TX501017"/>
    <x v="1"/>
    <x v="7"/>
    <n v="77.3"/>
    <n v="773"/>
    <d v="2025-02-09T00:00:00"/>
    <d v="2025-02-10T00:00:00"/>
    <s v="F"/>
    <x v="2"/>
    <n v="4"/>
    <x v="0"/>
    <x v="11"/>
    <x v="3"/>
    <x v="6"/>
    <x v="2"/>
  </r>
  <r>
    <s v="TX501018"/>
    <x v="6"/>
    <x v="15"/>
    <n v="57.8"/>
    <n v="751.4"/>
    <d v="2025-02-09T00:00:00"/>
    <d v="2025-02-10T00:00:00"/>
    <s v=""/>
    <x v="0"/>
    <n v="4"/>
    <x v="0"/>
    <x v="53"/>
    <x v="3"/>
    <x v="6"/>
    <x v="0"/>
  </r>
  <r>
    <s v="TX501019"/>
    <x v="12"/>
    <x v="20"/>
    <n v="42.1"/>
    <n v="631.5"/>
    <d v="2025-02-09T00:00:00"/>
    <d v="2025-02-11T00:00:00"/>
    <s v="F"/>
    <x v="1"/>
    <n v="3"/>
    <x v="0"/>
    <x v="53"/>
    <x v="1"/>
    <x v="6"/>
    <x v="2"/>
  </r>
  <r>
    <s v="TX501020"/>
    <x v="8"/>
    <x v="11"/>
    <n v="22.8"/>
    <n v="205.20000000000002"/>
    <d v="2025-02-09T00:00:00"/>
    <d v="2025-02-13T00:00:00"/>
    <s v="M"/>
    <x v="2"/>
    <n v="5"/>
    <x v="0"/>
    <x v="19"/>
    <x v="5"/>
    <x v="6"/>
    <x v="1"/>
  </r>
  <r>
    <s v="TX501021"/>
    <x v="2"/>
    <x v="2"/>
    <n v="171.1"/>
    <n v="513.29999999999995"/>
    <d v="2025-02-10T00:00:00"/>
    <d v="2025-02-17T00:00:00"/>
    <s v="F"/>
    <x v="2"/>
    <n v="3"/>
    <x v="0"/>
    <x v="19"/>
    <x v="6"/>
    <x v="6"/>
    <x v="2"/>
  </r>
  <r>
    <s v="TX501022"/>
    <x v="8"/>
    <x v="0"/>
    <n v="28"/>
    <n v="28"/>
    <d v="2025-02-10T00:00:00"/>
    <d v="2025-02-12T00:00:00"/>
    <s v="M"/>
    <x v="2"/>
    <n v="5"/>
    <x v="0"/>
    <x v="21"/>
    <x v="1"/>
    <x v="6"/>
    <x v="1"/>
  </r>
  <r>
    <s v="TX501023"/>
    <x v="6"/>
    <x v="3"/>
    <n v="50.2"/>
    <n v="351.40000000000003"/>
    <d v="2025-02-10T00:00:00"/>
    <d v="2025-02-12T00:00:00"/>
    <s v="M"/>
    <x v="2"/>
    <n v="4"/>
    <x v="0"/>
    <x v="21"/>
    <x v="1"/>
    <x v="6"/>
    <x v="1"/>
  </r>
  <r>
    <s v="TX501024"/>
    <x v="6"/>
    <x v="1"/>
    <n v="56"/>
    <n v="112"/>
    <d v="2025-02-10T00:00:00"/>
    <d v="2025-02-10T00:00:00"/>
    <s v="M"/>
    <x v="0"/>
    <n v="5"/>
    <x v="0"/>
    <x v="22"/>
    <x v="7"/>
    <x v="6"/>
    <x v="1"/>
  </r>
  <r>
    <s v="TX501025"/>
    <x v="1"/>
    <x v="1"/>
    <n v="38.299999999999997"/>
    <n v="76.599999999999994"/>
    <d v="2025-02-10T00:00:00"/>
    <d v="2025-02-11T00:00:00"/>
    <s v="F"/>
    <x v="1"/>
    <n v="4"/>
    <x v="0"/>
    <x v="3"/>
    <x v="3"/>
    <x v="6"/>
    <x v="2"/>
  </r>
  <r>
    <s v="TX501026"/>
    <x v="0"/>
    <x v="9"/>
    <n v="22.3"/>
    <n v="111.5"/>
    <d v="2025-02-10T00:00:00"/>
    <d v="2025-02-14T00:00:00"/>
    <s v="F"/>
    <x v="2"/>
    <n v="3"/>
    <x v="0"/>
    <x v="3"/>
    <x v="5"/>
    <x v="6"/>
    <x v="2"/>
  </r>
  <r>
    <s v="TX501027"/>
    <x v="0"/>
    <x v="2"/>
    <n v="22.3"/>
    <n v="66.900000000000006"/>
    <d v="2025-02-10T00:00:00"/>
    <d v="2025-02-13T00:00:00"/>
    <s v="F"/>
    <x v="2"/>
    <n v="4"/>
    <x v="0"/>
    <x v="3"/>
    <x v="2"/>
    <x v="6"/>
    <x v="2"/>
  </r>
  <r>
    <s v="TX501028"/>
    <x v="1"/>
    <x v="0"/>
    <n v="32.9"/>
    <n v="32.9"/>
    <d v="2025-02-10T00:00:00"/>
    <d v="2025-02-15T00:00:00"/>
    <s v="F"/>
    <x v="0"/>
    <n v="4"/>
    <x v="0"/>
    <x v="3"/>
    <x v="0"/>
    <x v="6"/>
    <x v="2"/>
  </r>
  <r>
    <s v="TX501029"/>
    <x v="10"/>
    <x v="2"/>
    <n v="31.9"/>
    <n v="95.699999999999989"/>
    <d v="2025-02-10T00:00:00"/>
    <d v="2025-02-15T00:00:00"/>
    <s v="F"/>
    <x v="0"/>
    <n v="4"/>
    <x v="0"/>
    <x v="3"/>
    <x v="0"/>
    <x v="6"/>
    <x v="2"/>
  </r>
  <r>
    <s v="TX501030"/>
    <x v="6"/>
    <x v="1"/>
    <n v="94"/>
    <n v="188"/>
    <d v="2025-02-10T00:00:00"/>
    <d v="2025-02-11T00:00:00"/>
    <s v="M"/>
    <x v="2"/>
    <n v="5"/>
    <x v="0"/>
    <x v="3"/>
    <x v="3"/>
    <x v="6"/>
    <x v="1"/>
  </r>
  <r>
    <s v="TX501031"/>
    <x v="10"/>
    <x v="1"/>
    <n v="30.7"/>
    <n v="61.4"/>
    <d v="2025-02-10T00:00:00"/>
    <d v="2025-02-11T00:00:00"/>
    <s v="F"/>
    <x v="0"/>
    <n v="3"/>
    <x v="0"/>
    <x v="3"/>
    <x v="3"/>
    <x v="6"/>
    <x v="2"/>
  </r>
  <r>
    <s v="TX501032"/>
    <x v="5"/>
    <x v="9"/>
    <n v="90.5"/>
    <n v="452.5"/>
    <d v="2025-02-10T00:00:00"/>
    <d v="2025-02-17T00:00:00"/>
    <s v="M"/>
    <x v="0"/>
    <n v="5"/>
    <x v="0"/>
    <x v="3"/>
    <x v="6"/>
    <x v="6"/>
    <x v="1"/>
  </r>
  <r>
    <s v="TX501033"/>
    <x v="8"/>
    <x v="9"/>
    <n v="25.3"/>
    <n v="126.5"/>
    <d v="2025-02-10T00:00:00"/>
    <d v="2025-02-14T00:00:00"/>
    <s v="F"/>
    <x v="0"/>
    <n v="5"/>
    <x v="0"/>
    <x v="3"/>
    <x v="5"/>
    <x v="6"/>
    <x v="2"/>
  </r>
  <r>
    <s v="TX501034"/>
    <x v="6"/>
    <x v="2"/>
    <n v="58.1"/>
    <n v="174.3"/>
    <d v="2025-02-10T00:00:00"/>
    <d v="2025-02-14T00:00:00"/>
    <s v=""/>
    <x v="0"/>
    <n v="5"/>
    <x v="0"/>
    <x v="3"/>
    <x v="5"/>
    <x v="6"/>
    <x v="0"/>
  </r>
  <r>
    <s v="TX501035"/>
    <x v="2"/>
    <x v="2"/>
    <n v="74.900000000000006"/>
    <n v="224.70000000000002"/>
    <d v="2025-02-10T00:00:00"/>
    <d v="2025-02-11T00:00:00"/>
    <s v="F"/>
    <x v="4"/>
    <n v="4"/>
    <x v="0"/>
    <x v="3"/>
    <x v="3"/>
    <x v="6"/>
    <x v="2"/>
  </r>
  <r>
    <s v="TX501036"/>
    <x v="4"/>
    <x v="1"/>
    <n v="32.5"/>
    <n v="65"/>
    <d v="2025-02-10T00:00:00"/>
    <d v="2025-02-11T00:00:00"/>
    <s v="M"/>
    <x v="2"/>
    <n v="5"/>
    <x v="0"/>
    <x v="43"/>
    <x v="3"/>
    <x v="6"/>
    <x v="1"/>
  </r>
  <r>
    <s v="TX501037"/>
    <x v="4"/>
    <x v="9"/>
    <n v="62"/>
    <n v="310"/>
    <d v="2025-02-10T00:00:00"/>
    <d v="2025-02-11T00:00:00"/>
    <s v="M"/>
    <x v="4"/>
    <n v="5"/>
    <x v="0"/>
    <x v="25"/>
    <x v="3"/>
    <x v="6"/>
    <x v="1"/>
  </r>
  <r>
    <s v="TX501038"/>
    <x v="13"/>
    <x v="13"/>
    <n v="28.9"/>
    <n v="173.39999999999998"/>
    <d v="2025-02-10T00:00:00"/>
    <d v="2025-02-13T00:00:00"/>
    <s v="F"/>
    <x v="0"/>
    <n v="3"/>
    <x v="0"/>
    <x v="6"/>
    <x v="2"/>
    <x v="6"/>
    <x v="2"/>
  </r>
  <r>
    <s v="TX501039"/>
    <x v="6"/>
    <x v="8"/>
    <n v="42.8"/>
    <n v="342.4"/>
    <d v="2025-02-10T00:00:00"/>
    <d v="2025-02-12T00:00:00"/>
    <s v="F"/>
    <x v="0"/>
    <n v="5"/>
    <x v="0"/>
    <x v="6"/>
    <x v="1"/>
    <x v="6"/>
    <x v="2"/>
  </r>
  <r>
    <s v="TX501040"/>
    <x v="8"/>
    <x v="8"/>
    <n v="39.4"/>
    <n v="315.2"/>
    <d v="2025-02-10T00:00:00"/>
    <d v="2025-02-12T00:00:00"/>
    <s v="M"/>
    <x v="0"/>
    <n v="4"/>
    <x v="0"/>
    <x v="36"/>
    <x v="1"/>
    <x v="6"/>
    <x v="1"/>
  </r>
  <r>
    <s v="TX501041"/>
    <x v="18"/>
    <x v="2"/>
    <n v="66.400000000000006"/>
    <n v="199.20000000000002"/>
    <d v="2025-02-10T00:00:00"/>
    <d v="2025-02-11T00:00:00"/>
    <s v=""/>
    <x v="2"/>
    <n v="3"/>
    <x v="0"/>
    <x v="7"/>
    <x v="3"/>
    <x v="6"/>
    <x v="0"/>
  </r>
  <r>
    <s v="TX501042"/>
    <x v="17"/>
    <x v="12"/>
    <n v="35.9"/>
    <n v="143.6"/>
    <d v="2025-02-10T00:00:00"/>
    <d v="2025-02-17T00:00:00"/>
    <s v="F"/>
    <x v="1"/>
    <n v="4"/>
    <x v="0"/>
    <x v="7"/>
    <x v="6"/>
    <x v="6"/>
    <x v="2"/>
  </r>
  <r>
    <s v="TX501043"/>
    <x v="0"/>
    <x v="12"/>
    <n v="26.9"/>
    <n v="107.6"/>
    <d v="2025-02-10T00:00:00"/>
    <d v="2025-02-11T00:00:00"/>
    <s v="M"/>
    <x v="1"/>
    <n v="4"/>
    <x v="0"/>
    <x v="7"/>
    <x v="3"/>
    <x v="6"/>
    <x v="1"/>
  </r>
  <r>
    <s v="TX501044"/>
    <x v="2"/>
    <x v="0"/>
    <n v="55.1"/>
    <n v="55.1"/>
    <d v="2025-02-10T00:00:00"/>
    <d v="2025-02-11T00:00:00"/>
    <s v="F"/>
    <x v="0"/>
    <n v="4"/>
    <x v="0"/>
    <x v="7"/>
    <x v="3"/>
    <x v="6"/>
    <x v="2"/>
  </r>
  <r>
    <s v="TX501045"/>
    <x v="4"/>
    <x v="1"/>
    <n v="23.9"/>
    <n v="47.8"/>
    <d v="2025-02-10T00:00:00"/>
    <d v="2025-02-11T00:00:00"/>
    <s v="M"/>
    <x v="0"/>
    <n v="5"/>
    <x v="0"/>
    <x v="8"/>
    <x v="3"/>
    <x v="6"/>
    <x v="1"/>
  </r>
  <r>
    <s v="TX501046"/>
    <x v="9"/>
    <x v="15"/>
    <n v="21.1"/>
    <n v="274.3"/>
    <d v="2025-02-10T00:00:00"/>
    <d v="2025-02-18T00:00:00"/>
    <s v="F"/>
    <x v="0"/>
    <n v="3"/>
    <x v="0"/>
    <x v="8"/>
    <x v="9"/>
    <x v="6"/>
    <x v="2"/>
  </r>
  <r>
    <s v="TX501047"/>
    <x v="8"/>
    <x v="9"/>
    <n v="33.799999999999997"/>
    <n v="169"/>
    <d v="2025-02-10T00:00:00"/>
    <d v="2025-02-12T00:00:00"/>
    <s v="F"/>
    <x v="0"/>
    <n v="4"/>
    <x v="0"/>
    <x v="8"/>
    <x v="1"/>
    <x v="6"/>
    <x v="2"/>
  </r>
  <r>
    <s v="TX501048"/>
    <x v="2"/>
    <x v="12"/>
    <n v="56.1"/>
    <n v="224.4"/>
    <d v="2025-02-10T00:00:00"/>
    <d v="2025-02-10T00:00:00"/>
    <s v="F"/>
    <x v="3"/>
    <n v="5"/>
    <x v="0"/>
    <x v="9"/>
    <x v="7"/>
    <x v="6"/>
    <x v="2"/>
  </r>
  <r>
    <s v="TX501049"/>
    <x v="3"/>
    <x v="0"/>
    <n v="58.5"/>
    <n v="58.5"/>
    <d v="2025-02-11T00:00:00"/>
    <d v="2025-02-15T00:00:00"/>
    <s v="F"/>
    <x v="1"/>
    <n v="5"/>
    <x v="0"/>
    <x v="9"/>
    <x v="5"/>
    <x v="6"/>
    <x v="2"/>
  </r>
  <r>
    <s v="TX501050"/>
    <x v="6"/>
    <x v="0"/>
    <n v="84.2"/>
    <n v="84.2"/>
    <d v="2025-02-11T00:00:00"/>
    <d v="2025-02-13T00:00:00"/>
    <s v="M"/>
    <x v="3"/>
    <n v="4"/>
    <x v="0"/>
    <x v="11"/>
    <x v="1"/>
    <x v="6"/>
    <x v="1"/>
  </r>
  <r>
    <s v="TX501051"/>
    <x v="11"/>
    <x v="12"/>
    <n v="52"/>
    <n v="208"/>
    <d v="2025-02-11T00:00:00"/>
    <d v="2025-02-14T00:00:00"/>
    <s v="M"/>
    <x v="0"/>
    <n v="4"/>
    <x v="0"/>
    <x v="11"/>
    <x v="2"/>
    <x v="6"/>
    <x v="1"/>
  </r>
  <r>
    <s v="TX501052"/>
    <x v="4"/>
    <x v="9"/>
    <n v="31.5"/>
    <n v="157.5"/>
    <d v="2025-02-11T00:00:00"/>
    <d v="2025-02-12T00:00:00"/>
    <s v="F"/>
    <x v="0"/>
    <n v="5"/>
    <x v="0"/>
    <x v="11"/>
    <x v="3"/>
    <x v="6"/>
    <x v="2"/>
  </r>
  <r>
    <s v="TX501053"/>
    <x v="16"/>
    <x v="2"/>
    <n v="46.2"/>
    <n v="138.60000000000002"/>
    <d v="2025-02-11T00:00:00"/>
    <d v="2025-02-12T00:00:00"/>
    <s v="M"/>
    <x v="0"/>
    <n v="4"/>
    <x v="0"/>
    <x v="53"/>
    <x v="3"/>
    <x v="6"/>
    <x v="1"/>
  </r>
  <r>
    <s v="TX501054"/>
    <x v="2"/>
    <x v="13"/>
    <n v="135"/>
    <n v="810"/>
    <d v="2025-02-11T00:00:00"/>
    <d v="2025-02-12T00:00:00"/>
    <s v="F"/>
    <x v="1"/>
    <n v="5"/>
    <x v="0"/>
    <x v="18"/>
    <x v="3"/>
    <x v="6"/>
    <x v="2"/>
  </r>
  <r>
    <s v="TX501055"/>
    <x v="12"/>
    <x v="2"/>
    <n v="92.2"/>
    <n v="276.60000000000002"/>
    <d v="2025-02-11T00:00:00"/>
    <d v="2025-02-15T00:00:00"/>
    <s v="M"/>
    <x v="0"/>
    <n v="4"/>
    <x v="0"/>
    <x v="21"/>
    <x v="5"/>
    <x v="6"/>
    <x v="1"/>
  </r>
  <r>
    <s v="TX501056"/>
    <x v="8"/>
    <x v="0"/>
    <n v="36.6"/>
    <n v="36.6"/>
    <d v="2025-02-11T00:00:00"/>
    <d v="2025-02-13T00:00:00"/>
    <s v="M"/>
    <x v="2"/>
    <n v="5"/>
    <x v="0"/>
    <x v="21"/>
    <x v="1"/>
    <x v="6"/>
    <x v="1"/>
  </r>
  <r>
    <s v="TX501057"/>
    <x v="9"/>
    <x v="1"/>
    <n v="50.6"/>
    <n v="101.2"/>
    <d v="2025-02-11T00:00:00"/>
    <d v="2025-02-14T00:00:00"/>
    <s v="F"/>
    <x v="0"/>
    <n v="4"/>
    <x v="0"/>
    <x v="2"/>
    <x v="2"/>
    <x v="6"/>
    <x v="2"/>
  </r>
  <r>
    <s v="TX501058"/>
    <x v="18"/>
    <x v="3"/>
    <n v="56.7"/>
    <n v="396.90000000000003"/>
    <d v="2025-02-11T00:00:00"/>
    <d v="2025-02-14T00:00:00"/>
    <s v="F"/>
    <x v="0"/>
    <n v="4"/>
    <x v="0"/>
    <x v="2"/>
    <x v="2"/>
    <x v="6"/>
    <x v="2"/>
  </r>
  <r>
    <s v="TX501059"/>
    <x v="9"/>
    <x v="15"/>
    <n v="22.9"/>
    <n v="297.7"/>
    <d v="2025-02-11T00:00:00"/>
    <d v="2025-02-12T00:00:00"/>
    <s v="F"/>
    <x v="0"/>
    <n v="3"/>
    <x v="0"/>
    <x v="44"/>
    <x v="3"/>
    <x v="6"/>
    <x v="2"/>
  </r>
  <r>
    <s v="TX501060"/>
    <x v="15"/>
    <x v="10"/>
    <n v="53.6"/>
    <n v="1018.4"/>
    <d v="2025-02-11T00:00:00"/>
    <d v="2025-02-12T00:00:00"/>
    <s v="M"/>
    <x v="0"/>
    <n v="4"/>
    <x v="0"/>
    <x v="22"/>
    <x v="3"/>
    <x v="6"/>
    <x v="1"/>
  </r>
  <r>
    <s v="TX501061"/>
    <x v="18"/>
    <x v="1"/>
    <n v="30.2"/>
    <n v="60.4"/>
    <d v="2025-02-11T00:00:00"/>
    <d v="2025-02-13T00:00:00"/>
    <s v=""/>
    <x v="2"/>
    <n v="5"/>
    <x v="0"/>
    <x v="3"/>
    <x v="1"/>
    <x v="6"/>
    <x v="0"/>
  </r>
  <r>
    <s v="TX501062"/>
    <x v="15"/>
    <x v="13"/>
    <n v="83.4"/>
    <n v="500.40000000000003"/>
    <d v="2025-02-11T00:00:00"/>
    <d v="2025-02-12T00:00:00"/>
    <s v="M"/>
    <x v="1"/>
    <n v="5"/>
    <x v="0"/>
    <x v="3"/>
    <x v="3"/>
    <x v="6"/>
    <x v="1"/>
  </r>
  <r>
    <s v="TX501063"/>
    <x v="13"/>
    <x v="4"/>
    <n v="16.600000000000001"/>
    <n v="199.20000000000002"/>
    <d v="2025-02-11T00:00:00"/>
    <d v="2025-02-13T00:00:00"/>
    <s v="M"/>
    <x v="1"/>
    <n v="4"/>
    <x v="0"/>
    <x v="3"/>
    <x v="1"/>
    <x v="6"/>
    <x v="1"/>
  </r>
  <r>
    <s v="TX501064"/>
    <x v="8"/>
    <x v="14"/>
    <n v="21.9"/>
    <n v="372.29999999999995"/>
    <d v="2025-02-11T00:00:00"/>
    <d v="2025-02-13T00:00:00"/>
    <s v="F"/>
    <x v="4"/>
    <n v="3"/>
    <x v="0"/>
    <x v="3"/>
    <x v="1"/>
    <x v="6"/>
    <x v="2"/>
  </r>
  <r>
    <s v="TX501065"/>
    <x v="8"/>
    <x v="31"/>
    <n v="33.799999999999997"/>
    <n v="946.39999999999986"/>
    <d v="2025-02-11T00:00:00"/>
    <d v="2025-02-13T00:00:00"/>
    <s v="M"/>
    <x v="2"/>
    <n v="2"/>
    <x v="0"/>
    <x v="3"/>
    <x v="1"/>
    <x v="6"/>
    <x v="1"/>
  </r>
  <r>
    <s v="TX501066"/>
    <x v="18"/>
    <x v="1"/>
    <n v="53.2"/>
    <n v="106.4"/>
    <d v="2025-02-11T00:00:00"/>
    <d v="2025-02-11T00:00:00"/>
    <s v="M"/>
    <x v="1"/>
    <n v="4"/>
    <x v="0"/>
    <x v="3"/>
    <x v="7"/>
    <x v="6"/>
    <x v="1"/>
  </r>
  <r>
    <s v="TX501067"/>
    <x v="2"/>
    <x v="1"/>
    <n v="176.7"/>
    <n v="353.4"/>
    <d v="2025-02-11T00:00:00"/>
    <d v="2025-02-14T00:00:00"/>
    <s v="F"/>
    <x v="2"/>
    <n v="4"/>
    <x v="0"/>
    <x v="3"/>
    <x v="2"/>
    <x v="6"/>
    <x v="2"/>
  </r>
  <r>
    <s v="TX501068"/>
    <x v="12"/>
    <x v="2"/>
    <n v="54"/>
    <n v="162"/>
    <d v="2025-02-11T00:00:00"/>
    <d v="2025-02-14T00:00:00"/>
    <s v="M"/>
    <x v="0"/>
    <n v="3"/>
    <x v="0"/>
    <x v="3"/>
    <x v="2"/>
    <x v="6"/>
    <x v="1"/>
  </r>
  <r>
    <s v="TX501069"/>
    <x v="9"/>
    <x v="1"/>
    <n v="70.099999999999994"/>
    <n v="140.19999999999999"/>
    <d v="2025-02-11T00:00:00"/>
    <d v="2025-02-19T00:00:00"/>
    <s v="F"/>
    <x v="3"/>
    <n v="5"/>
    <x v="0"/>
    <x v="3"/>
    <x v="9"/>
    <x v="6"/>
    <x v="2"/>
  </r>
  <r>
    <s v="TX501070"/>
    <x v="8"/>
    <x v="0"/>
    <n v="26.5"/>
    <n v="26.5"/>
    <d v="2025-02-11T00:00:00"/>
    <d v="2025-02-13T00:00:00"/>
    <s v="F"/>
    <x v="1"/>
    <n v="4"/>
    <x v="0"/>
    <x v="3"/>
    <x v="1"/>
    <x v="6"/>
    <x v="2"/>
  </r>
  <r>
    <s v="TX501071"/>
    <x v="7"/>
    <x v="9"/>
    <n v="89"/>
    <n v="445"/>
    <d v="2025-02-11T00:00:00"/>
    <d v="2025-02-13T00:00:00"/>
    <s v="M"/>
    <x v="2"/>
    <n v="2"/>
    <x v="0"/>
    <x v="3"/>
    <x v="1"/>
    <x v="6"/>
    <x v="1"/>
  </r>
  <r>
    <s v="TX501072"/>
    <x v="1"/>
    <x v="13"/>
    <n v="47"/>
    <n v="282"/>
    <d v="2025-02-11T00:00:00"/>
    <d v="2025-02-14T00:00:00"/>
    <s v="F"/>
    <x v="3"/>
    <n v="4"/>
    <x v="0"/>
    <x v="24"/>
    <x v="2"/>
    <x v="6"/>
    <x v="2"/>
  </r>
  <r>
    <s v="TX501073"/>
    <x v="3"/>
    <x v="1"/>
    <n v="55.2"/>
    <n v="110.4"/>
    <d v="2025-02-11T00:00:00"/>
    <d v="2025-02-14T00:00:00"/>
    <s v="M"/>
    <x v="1"/>
    <n v="3"/>
    <x v="0"/>
    <x v="6"/>
    <x v="2"/>
    <x v="6"/>
    <x v="1"/>
  </r>
  <r>
    <s v="TX501074"/>
    <x v="8"/>
    <x v="39"/>
    <n v="33.299999999999997"/>
    <n v="1398.6"/>
    <d v="2025-02-11T00:00:00"/>
    <d v="2025-02-25T00:00:00"/>
    <s v="M"/>
    <x v="1"/>
    <n v="5"/>
    <x v="0"/>
    <x v="6"/>
    <x v="12"/>
    <x v="6"/>
    <x v="1"/>
  </r>
  <r>
    <s v="TX501075"/>
    <x v="2"/>
    <x v="12"/>
    <n v="110.9"/>
    <n v="443.6"/>
    <d v="2025-02-12T00:00:00"/>
    <d v="2025-02-12T00:00:00"/>
    <s v="M"/>
    <x v="2"/>
    <n v="2"/>
    <x v="0"/>
    <x v="6"/>
    <x v="7"/>
    <x v="6"/>
    <x v="1"/>
  </r>
  <r>
    <s v="TX501076"/>
    <x v="2"/>
    <x v="13"/>
    <n v="67.3"/>
    <n v="403.79999999999995"/>
    <d v="2025-02-12T00:00:00"/>
    <d v="2025-02-13T00:00:00"/>
    <s v="M"/>
    <x v="0"/>
    <n v="4"/>
    <x v="0"/>
    <x v="8"/>
    <x v="3"/>
    <x v="6"/>
    <x v="1"/>
  </r>
  <r>
    <s v="TX501077"/>
    <x v="6"/>
    <x v="2"/>
    <n v="69.7"/>
    <n v="209.10000000000002"/>
    <d v="2025-02-12T00:00:00"/>
    <d v="2025-02-13T00:00:00"/>
    <s v="M"/>
    <x v="2"/>
    <n v="3"/>
    <x v="0"/>
    <x v="8"/>
    <x v="3"/>
    <x v="6"/>
    <x v="1"/>
  </r>
  <r>
    <s v="TX501078"/>
    <x v="5"/>
    <x v="0"/>
    <n v="39.1"/>
    <n v="39.1"/>
    <d v="2025-02-12T00:00:00"/>
    <d v="2025-02-17T00:00:00"/>
    <s v="M"/>
    <x v="0"/>
    <n v="3"/>
    <x v="0"/>
    <x v="17"/>
    <x v="0"/>
    <x v="6"/>
    <x v="1"/>
  </r>
  <r>
    <s v="TX501079"/>
    <x v="2"/>
    <x v="2"/>
    <n v="208.6"/>
    <n v="625.79999999999995"/>
    <d v="2025-02-12T00:00:00"/>
    <d v="2025-02-12T00:00:00"/>
    <s v="M"/>
    <x v="4"/>
    <n v="5"/>
    <x v="0"/>
    <x v="17"/>
    <x v="7"/>
    <x v="6"/>
    <x v="1"/>
  </r>
  <r>
    <s v="TX501080"/>
    <x v="15"/>
    <x v="2"/>
    <n v="27.8"/>
    <n v="83.4"/>
    <d v="2025-02-12T00:00:00"/>
    <d v="2025-02-13T00:00:00"/>
    <s v="M"/>
    <x v="3"/>
    <n v="3"/>
    <x v="0"/>
    <x v="11"/>
    <x v="3"/>
    <x v="6"/>
    <x v="1"/>
  </r>
  <r>
    <s v="TX501081"/>
    <x v="10"/>
    <x v="9"/>
    <n v="29.4"/>
    <n v="147"/>
    <d v="2025-02-12T00:00:00"/>
    <d v="2025-02-14T00:00:00"/>
    <s v="F"/>
    <x v="0"/>
    <n v="4"/>
    <x v="0"/>
    <x v="11"/>
    <x v="1"/>
    <x v="6"/>
    <x v="2"/>
  </r>
  <r>
    <s v="TX501082"/>
    <x v="9"/>
    <x v="1"/>
    <n v="29.2"/>
    <n v="58.4"/>
    <d v="2025-02-12T00:00:00"/>
    <d v="2025-02-14T00:00:00"/>
    <s v="F"/>
    <x v="1"/>
    <n v="5"/>
    <x v="0"/>
    <x v="20"/>
    <x v="1"/>
    <x v="6"/>
    <x v="2"/>
  </r>
  <r>
    <s v="TX501083"/>
    <x v="10"/>
    <x v="9"/>
    <n v="26.5"/>
    <n v="132.5"/>
    <d v="2025-02-12T00:00:00"/>
    <d v="2025-02-14T00:00:00"/>
    <s v="F"/>
    <x v="0"/>
    <n v="4"/>
    <x v="0"/>
    <x v="52"/>
    <x v="1"/>
    <x v="6"/>
    <x v="2"/>
  </r>
  <r>
    <s v="TX501084"/>
    <x v="5"/>
    <x v="0"/>
    <n v="30.3"/>
    <n v="30.3"/>
    <d v="2025-02-12T00:00:00"/>
    <d v="2025-02-13T00:00:00"/>
    <s v="F"/>
    <x v="4"/>
    <n v="3"/>
    <x v="0"/>
    <x v="13"/>
    <x v="3"/>
    <x v="6"/>
    <x v="2"/>
  </r>
  <r>
    <s v="TX501085"/>
    <x v="16"/>
    <x v="4"/>
    <n v="39.700000000000003"/>
    <n v="476.40000000000003"/>
    <d v="2025-02-12T00:00:00"/>
    <d v="2025-02-13T00:00:00"/>
    <s v="F"/>
    <x v="0"/>
    <n v="4"/>
    <x v="0"/>
    <x v="21"/>
    <x v="3"/>
    <x v="6"/>
    <x v="2"/>
  </r>
  <r>
    <s v="TX501086"/>
    <x v="7"/>
    <x v="7"/>
    <n v="58.9"/>
    <n v="589"/>
    <d v="2025-02-12T00:00:00"/>
    <d v="2025-02-14T00:00:00"/>
    <s v="F"/>
    <x v="1"/>
    <n v="2"/>
    <x v="0"/>
    <x v="21"/>
    <x v="1"/>
    <x v="6"/>
    <x v="2"/>
  </r>
  <r>
    <s v="TX501087"/>
    <x v="2"/>
    <x v="1"/>
    <n v="174.1"/>
    <n v="348.2"/>
    <d v="2025-02-12T00:00:00"/>
    <d v="2025-02-14T00:00:00"/>
    <s v="F"/>
    <x v="0"/>
    <n v="3"/>
    <x v="0"/>
    <x v="46"/>
    <x v="1"/>
    <x v="6"/>
    <x v="2"/>
  </r>
  <r>
    <s v="TX501088"/>
    <x v="6"/>
    <x v="1"/>
    <n v="70.8"/>
    <n v="141.6"/>
    <d v="2025-02-12T00:00:00"/>
    <d v="2025-02-15T00:00:00"/>
    <s v="M"/>
    <x v="2"/>
    <n v="4"/>
    <x v="0"/>
    <x v="22"/>
    <x v="2"/>
    <x v="6"/>
    <x v="1"/>
  </r>
  <r>
    <s v="TX501089"/>
    <x v="7"/>
    <x v="1"/>
    <n v="57.4"/>
    <n v="114.8"/>
    <d v="2025-02-12T00:00:00"/>
    <d v="2025-02-14T00:00:00"/>
    <s v="F"/>
    <x v="1"/>
    <n v="3"/>
    <x v="0"/>
    <x v="34"/>
    <x v="1"/>
    <x v="6"/>
    <x v="2"/>
  </r>
  <r>
    <s v="TX501090"/>
    <x v="0"/>
    <x v="1"/>
    <n v="28.5"/>
    <n v="57"/>
    <d v="2025-02-12T00:00:00"/>
    <d v="2025-02-14T00:00:00"/>
    <s v="M"/>
    <x v="3"/>
    <n v="3"/>
    <x v="0"/>
    <x v="3"/>
    <x v="1"/>
    <x v="6"/>
    <x v="1"/>
  </r>
  <r>
    <s v="TX501091"/>
    <x v="2"/>
    <x v="28"/>
    <n v="106.6"/>
    <n v="2132"/>
    <d v="2025-02-12T00:00:00"/>
    <d v="2025-02-13T00:00:00"/>
    <s v=""/>
    <x v="1"/>
    <n v="2"/>
    <x v="0"/>
    <x v="3"/>
    <x v="3"/>
    <x v="6"/>
    <x v="0"/>
  </r>
  <r>
    <s v="TX501092"/>
    <x v="2"/>
    <x v="2"/>
    <n v="119.7"/>
    <n v="359.1"/>
    <d v="2025-02-12T00:00:00"/>
    <d v="2025-02-13T00:00:00"/>
    <s v="F"/>
    <x v="1"/>
    <n v="2"/>
    <x v="0"/>
    <x v="3"/>
    <x v="3"/>
    <x v="6"/>
    <x v="2"/>
  </r>
  <r>
    <s v="TX501093"/>
    <x v="18"/>
    <x v="0"/>
    <n v="73.3"/>
    <n v="73.3"/>
    <d v="2025-02-12T00:00:00"/>
    <d v="2025-02-17T00:00:00"/>
    <s v="F"/>
    <x v="0"/>
    <n v="5"/>
    <x v="0"/>
    <x v="3"/>
    <x v="0"/>
    <x v="6"/>
    <x v="2"/>
  </r>
  <r>
    <s v="TX501094"/>
    <x v="0"/>
    <x v="1"/>
    <n v="25.8"/>
    <n v="51.6"/>
    <d v="2025-02-12T00:00:00"/>
    <d v="2025-02-26T00:00:00"/>
    <s v="M"/>
    <x v="2"/>
    <n v="4"/>
    <x v="0"/>
    <x v="3"/>
    <x v="12"/>
    <x v="6"/>
    <x v="1"/>
  </r>
  <r>
    <s v="TX501095"/>
    <x v="17"/>
    <x v="2"/>
    <n v="49.1"/>
    <n v="147.30000000000001"/>
    <d v="2025-02-12T00:00:00"/>
    <d v="2025-02-14T00:00:00"/>
    <s v="F"/>
    <x v="0"/>
    <n v="4"/>
    <x v="0"/>
    <x v="24"/>
    <x v="1"/>
    <x v="6"/>
    <x v="2"/>
  </r>
  <r>
    <s v="TX501096"/>
    <x v="1"/>
    <x v="0"/>
    <n v="44.9"/>
    <n v="44.9"/>
    <d v="2025-02-12T00:00:00"/>
    <d v="2025-02-15T00:00:00"/>
    <s v="F"/>
    <x v="3"/>
    <n v="5"/>
    <x v="0"/>
    <x v="6"/>
    <x v="2"/>
    <x v="6"/>
    <x v="2"/>
  </r>
  <r>
    <s v="TX501097"/>
    <x v="15"/>
    <x v="3"/>
    <n v="29.9"/>
    <n v="209.29999999999998"/>
    <d v="2025-02-12T00:00:00"/>
    <d v="2025-02-13T00:00:00"/>
    <s v="F"/>
    <x v="0"/>
    <n v="4"/>
    <x v="0"/>
    <x v="6"/>
    <x v="3"/>
    <x v="6"/>
    <x v="2"/>
  </r>
  <r>
    <s v="TX501098"/>
    <x v="7"/>
    <x v="1"/>
    <n v="54.3"/>
    <n v="108.6"/>
    <d v="2025-02-13T00:00:00"/>
    <d v="2025-02-14T00:00:00"/>
    <s v="M"/>
    <x v="3"/>
    <n v="4"/>
    <x v="0"/>
    <x v="36"/>
    <x v="3"/>
    <x v="6"/>
    <x v="1"/>
  </r>
  <r>
    <s v="TX501099"/>
    <x v="9"/>
    <x v="12"/>
    <n v="57"/>
    <n v="228"/>
    <d v="2025-02-13T00:00:00"/>
    <d v="2025-02-15T00:00:00"/>
    <s v="F"/>
    <x v="0"/>
    <n v="4"/>
    <x v="0"/>
    <x v="8"/>
    <x v="1"/>
    <x v="6"/>
    <x v="2"/>
  </r>
  <r>
    <s v="TX501100"/>
    <x v="2"/>
    <x v="0"/>
    <n v="139.19999999999999"/>
    <n v="139.19999999999999"/>
    <d v="2025-02-13T00:00:00"/>
    <d v="2025-02-14T00:00:00"/>
    <s v="F"/>
    <x v="3"/>
    <n v="5"/>
    <x v="0"/>
    <x v="8"/>
    <x v="3"/>
    <x v="6"/>
    <x v="2"/>
  </r>
  <r>
    <s v="TX501101"/>
    <x v="10"/>
    <x v="0"/>
    <n v="33"/>
    <n v="33"/>
    <d v="2025-02-13T00:00:00"/>
    <d v="2025-02-16T00:00:00"/>
    <s v="F"/>
    <x v="0"/>
    <n v="5"/>
    <x v="0"/>
    <x v="8"/>
    <x v="2"/>
    <x v="6"/>
    <x v="2"/>
  </r>
  <r>
    <s v="TX501102"/>
    <x v="11"/>
    <x v="13"/>
    <n v="80.2"/>
    <n v="481.20000000000005"/>
    <d v="2025-02-13T00:00:00"/>
    <d v="2025-02-15T00:00:00"/>
    <s v="M"/>
    <x v="1"/>
    <n v="2"/>
    <x v="0"/>
    <x v="8"/>
    <x v="1"/>
    <x v="6"/>
    <x v="1"/>
  </r>
  <r>
    <s v="TX501103"/>
    <x v="18"/>
    <x v="8"/>
    <n v="49"/>
    <n v="392"/>
    <d v="2025-02-13T00:00:00"/>
    <d v="2025-02-14T00:00:00"/>
    <s v=""/>
    <x v="2"/>
    <n v="3"/>
    <x v="0"/>
    <x v="9"/>
    <x v="3"/>
    <x v="6"/>
    <x v="0"/>
  </r>
  <r>
    <s v="TX501104"/>
    <x v="1"/>
    <x v="12"/>
    <n v="104.4"/>
    <n v="417.6"/>
    <d v="2025-02-13T00:00:00"/>
    <d v="2025-02-13T00:00:00"/>
    <s v="F"/>
    <x v="0"/>
    <n v="4"/>
    <x v="0"/>
    <x v="9"/>
    <x v="7"/>
    <x v="6"/>
    <x v="2"/>
  </r>
  <r>
    <s v="TX501105"/>
    <x v="3"/>
    <x v="0"/>
    <n v="41.6"/>
    <n v="41.6"/>
    <d v="2025-02-13T00:00:00"/>
    <d v="2025-02-16T00:00:00"/>
    <s v="M"/>
    <x v="3"/>
    <n v="4"/>
    <x v="0"/>
    <x v="11"/>
    <x v="2"/>
    <x v="6"/>
    <x v="1"/>
  </r>
  <r>
    <s v="TX501106"/>
    <x v="19"/>
    <x v="1"/>
    <n v="16.399999999999999"/>
    <n v="32.799999999999997"/>
    <d v="2025-02-13T00:00:00"/>
    <d v="2025-02-14T00:00:00"/>
    <s v="O"/>
    <x v="0"/>
    <n v="5"/>
    <x v="0"/>
    <x v="11"/>
    <x v="3"/>
    <x v="6"/>
    <x v="3"/>
  </r>
  <r>
    <s v="TX501107"/>
    <x v="8"/>
    <x v="1"/>
    <n v="22"/>
    <n v="44"/>
    <d v="2025-02-13T00:00:00"/>
    <d v="2025-02-14T00:00:00"/>
    <s v="M"/>
    <x v="2"/>
    <n v="5"/>
    <x v="0"/>
    <x v="53"/>
    <x v="3"/>
    <x v="6"/>
    <x v="1"/>
  </r>
  <r>
    <s v="TX501108"/>
    <x v="15"/>
    <x v="1"/>
    <n v="33.6"/>
    <n v="67.2"/>
    <d v="2025-02-13T00:00:00"/>
    <d v="2025-02-18T00:00:00"/>
    <s v="F"/>
    <x v="0"/>
    <n v="4"/>
    <x v="0"/>
    <x v="21"/>
    <x v="0"/>
    <x v="6"/>
    <x v="2"/>
  </r>
  <r>
    <s v="TX501109"/>
    <x v="11"/>
    <x v="13"/>
    <n v="43"/>
    <n v="258"/>
    <d v="2025-02-13T00:00:00"/>
    <d v="2025-02-14T00:00:00"/>
    <s v="F"/>
    <x v="2"/>
    <n v="4"/>
    <x v="0"/>
    <x v="21"/>
    <x v="3"/>
    <x v="6"/>
    <x v="2"/>
  </r>
  <r>
    <s v="TX501110"/>
    <x v="6"/>
    <x v="9"/>
    <n v="108.8"/>
    <n v="544"/>
    <d v="2025-02-13T00:00:00"/>
    <d v="2025-02-16T00:00:00"/>
    <s v="F"/>
    <x v="4"/>
    <n v="5"/>
    <x v="0"/>
    <x v="21"/>
    <x v="2"/>
    <x v="6"/>
    <x v="2"/>
  </r>
  <r>
    <s v="TX501111"/>
    <x v="0"/>
    <x v="11"/>
    <n v="29.3"/>
    <n v="263.7"/>
    <d v="2025-02-13T00:00:00"/>
    <d v="2025-02-15T00:00:00"/>
    <s v="M"/>
    <x v="4"/>
    <n v="5"/>
    <x v="0"/>
    <x v="21"/>
    <x v="1"/>
    <x v="6"/>
    <x v="1"/>
  </r>
  <r>
    <s v="TX501112"/>
    <x v="2"/>
    <x v="0"/>
    <n v="122.7"/>
    <n v="122.7"/>
    <d v="2025-02-13T00:00:00"/>
    <d v="2025-02-16T00:00:00"/>
    <s v="O"/>
    <x v="0"/>
    <n v="5"/>
    <x v="0"/>
    <x v="1"/>
    <x v="2"/>
    <x v="6"/>
    <x v="3"/>
  </r>
  <r>
    <s v="TX501113"/>
    <x v="4"/>
    <x v="3"/>
    <n v="22.9"/>
    <n v="160.29999999999998"/>
    <d v="2025-02-13T00:00:00"/>
    <d v="2025-02-14T00:00:00"/>
    <s v="F"/>
    <x v="0"/>
    <n v="4"/>
    <x v="0"/>
    <x v="42"/>
    <x v="3"/>
    <x v="6"/>
    <x v="2"/>
  </r>
  <r>
    <s v="TX501114"/>
    <x v="8"/>
    <x v="7"/>
    <n v="25.5"/>
    <n v="255"/>
    <d v="2025-02-13T00:00:00"/>
    <d v="2025-02-20T00:00:00"/>
    <s v="F"/>
    <x v="0"/>
    <n v="4"/>
    <x v="0"/>
    <x v="33"/>
    <x v="6"/>
    <x v="6"/>
    <x v="2"/>
  </r>
  <r>
    <s v="TX501115"/>
    <x v="17"/>
    <x v="2"/>
    <n v="23.4"/>
    <n v="70.199999999999989"/>
    <d v="2025-02-13T00:00:00"/>
    <d v="2025-02-17T00:00:00"/>
    <s v="F"/>
    <x v="0"/>
    <n v="5"/>
    <x v="0"/>
    <x v="3"/>
    <x v="5"/>
    <x v="6"/>
    <x v="2"/>
  </r>
  <r>
    <s v="TX501116"/>
    <x v="5"/>
    <x v="8"/>
    <n v="27.4"/>
    <n v="219.2"/>
    <d v="2025-02-13T00:00:00"/>
    <d v="2025-02-16T00:00:00"/>
    <s v="F"/>
    <x v="2"/>
    <n v="4"/>
    <x v="0"/>
    <x v="3"/>
    <x v="2"/>
    <x v="6"/>
    <x v="2"/>
  </r>
  <r>
    <s v="TX501117"/>
    <x v="5"/>
    <x v="9"/>
    <n v="68.400000000000006"/>
    <n v="342"/>
    <d v="2025-02-13T00:00:00"/>
    <d v="2025-02-14T00:00:00"/>
    <s v="F"/>
    <x v="0"/>
    <n v="4"/>
    <x v="0"/>
    <x v="3"/>
    <x v="3"/>
    <x v="6"/>
    <x v="2"/>
  </r>
  <r>
    <s v="TX501118"/>
    <x v="6"/>
    <x v="0"/>
    <n v="51.9"/>
    <n v="51.9"/>
    <d v="2025-02-13T00:00:00"/>
    <d v="2025-02-13T00:00:00"/>
    <s v="F"/>
    <x v="0"/>
    <n v="4"/>
    <x v="0"/>
    <x v="3"/>
    <x v="7"/>
    <x v="6"/>
    <x v="2"/>
  </r>
  <r>
    <s v="TX501119"/>
    <x v="0"/>
    <x v="9"/>
    <n v="26.4"/>
    <n v="132"/>
    <d v="2025-02-13T00:00:00"/>
    <d v="2025-02-16T00:00:00"/>
    <s v="F"/>
    <x v="0"/>
    <n v="5"/>
    <x v="0"/>
    <x v="3"/>
    <x v="2"/>
    <x v="6"/>
    <x v="2"/>
  </r>
  <r>
    <s v="TX501120"/>
    <x v="12"/>
    <x v="1"/>
    <n v="117"/>
    <n v="234"/>
    <d v="2025-02-13T00:00:00"/>
    <d v="2025-02-14T00:00:00"/>
    <s v="F"/>
    <x v="1"/>
    <n v="3"/>
    <x v="0"/>
    <x v="3"/>
    <x v="3"/>
    <x v="6"/>
    <x v="2"/>
  </r>
  <r>
    <s v="TX501121"/>
    <x v="7"/>
    <x v="2"/>
    <n v="49.6"/>
    <n v="148.80000000000001"/>
    <d v="2025-02-14T00:00:00"/>
    <d v="2025-02-16T00:00:00"/>
    <s v="F"/>
    <x v="0"/>
    <n v="4"/>
    <x v="0"/>
    <x v="3"/>
    <x v="1"/>
    <x v="6"/>
    <x v="2"/>
  </r>
  <r>
    <s v="TX501122"/>
    <x v="4"/>
    <x v="2"/>
    <n v="38"/>
    <n v="114"/>
    <d v="2025-02-14T00:00:00"/>
    <d v="2025-02-17T00:00:00"/>
    <s v="M"/>
    <x v="2"/>
    <n v="2"/>
    <x v="0"/>
    <x v="3"/>
    <x v="2"/>
    <x v="6"/>
    <x v="1"/>
  </r>
  <r>
    <s v="TX501123"/>
    <x v="0"/>
    <x v="2"/>
    <n v="20.6"/>
    <n v="61.800000000000004"/>
    <d v="2025-02-14T00:00:00"/>
    <d v="2025-02-16T00:00:00"/>
    <s v="F"/>
    <x v="4"/>
    <n v="5"/>
    <x v="0"/>
    <x v="3"/>
    <x v="1"/>
    <x v="6"/>
    <x v="2"/>
  </r>
  <r>
    <s v="TX501124"/>
    <x v="0"/>
    <x v="1"/>
    <n v="16"/>
    <n v="32"/>
    <d v="2025-02-14T00:00:00"/>
    <d v="2025-02-15T00:00:00"/>
    <s v="M"/>
    <x v="1"/>
    <n v="3"/>
    <x v="0"/>
    <x v="49"/>
    <x v="3"/>
    <x v="6"/>
    <x v="1"/>
  </r>
  <r>
    <s v="TX501125"/>
    <x v="15"/>
    <x v="12"/>
    <n v="49.3"/>
    <n v="197.2"/>
    <d v="2025-02-14T00:00:00"/>
    <d v="2025-02-15T00:00:00"/>
    <s v="F"/>
    <x v="2"/>
    <n v="4"/>
    <x v="0"/>
    <x v="23"/>
    <x v="3"/>
    <x v="6"/>
    <x v="2"/>
  </r>
  <r>
    <s v="TX501126"/>
    <x v="9"/>
    <x v="1"/>
    <n v="24.1"/>
    <n v="48.2"/>
    <d v="2025-02-14T00:00:00"/>
    <d v="2025-02-18T00:00:00"/>
    <s v="F"/>
    <x v="0"/>
    <n v="4"/>
    <x v="0"/>
    <x v="6"/>
    <x v="5"/>
    <x v="6"/>
    <x v="2"/>
  </r>
  <r>
    <s v="TX501127"/>
    <x v="15"/>
    <x v="8"/>
    <n v="32.700000000000003"/>
    <n v="261.60000000000002"/>
    <d v="2025-02-14T00:00:00"/>
    <d v="2025-02-15T00:00:00"/>
    <s v="F"/>
    <x v="1"/>
    <n v="4"/>
    <x v="0"/>
    <x v="6"/>
    <x v="3"/>
    <x v="6"/>
    <x v="2"/>
  </r>
  <r>
    <s v="TX501128"/>
    <x v="6"/>
    <x v="2"/>
    <n v="74.400000000000006"/>
    <n v="223.20000000000002"/>
    <d v="2025-02-14T00:00:00"/>
    <d v="2025-02-15T00:00:00"/>
    <s v="F"/>
    <x v="3"/>
    <n v="5"/>
    <x v="0"/>
    <x v="8"/>
    <x v="3"/>
    <x v="6"/>
    <x v="2"/>
  </r>
  <r>
    <s v="TX501129"/>
    <x v="12"/>
    <x v="0"/>
    <n v="45.6"/>
    <n v="45.6"/>
    <d v="2025-02-14T00:00:00"/>
    <d v="2025-02-18T00:00:00"/>
    <s v="F"/>
    <x v="4"/>
    <n v="4"/>
    <x v="0"/>
    <x v="8"/>
    <x v="5"/>
    <x v="6"/>
    <x v="2"/>
  </r>
  <r>
    <s v="TX501130"/>
    <x v="8"/>
    <x v="8"/>
    <n v="19.600000000000001"/>
    <n v="156.80000000000001"/>
    <d v="2025-02-14T00:00:00"/>
    <d v="2025-02-27T00:00:00"/>
    <s v="F"/>
    <x v="0"/>
    <n v="4"/>
    <x v="0"/>
    <x v="8"/>
    <x v="10"/>
    <x v="6"/>
    <x v="2"/>
  </r>
  <r>
    <s v="TX501131"/>
    <x v="9"/>
    <x v="0"/>
    <n v="51.8"/>
    <n v="51.8"/>
    <d v="2025-02-14T00:00:00"/>
    <d v="2025-02-15T00:00:00"/>
    <s v="F"/>
    <x v="1"/>
    <n v="4"/>
    <x v="0"/>
    <x v="8"/>
    <x v="3"/>
    <x v="6"/>
    <x v="2"/>
  </r>
  <r>
    <s v="TX501132"/>
    <x v="6"/>
    <x v="0"/>
    <n v="74.7"/>
    <n v="74.7"/>
    <d v="2025-02-14T00:00:00"/>
    <d v="2025-02-15T00:00:00"/>
    <s v="M"/>
    <x v="0"/>
    <n v="3"/>
    <x v="0"/>
    <x v="8"/>
    <x v="3"/>
    <x v="6"/>
    <x v="1"/>
  </r>
  <r>
    <s v="TX501133"/>
    <x v="19"/>
    <x v="2"/>
    <n v="22.4"/>
    <n v="67.199999999999989"/>
    <d v="2025-02-14T00:00:00"/>
    <d v="2025-02-15T00:00:00"/>
    <s v="F"/>
    <x v="1"/>
    <n v="5"/>
    <x v="0"/>
    <x v="9"/>
    <x v="3"/>
    <x v="6"/>
    <x v="2"/>
  </r>
  <r>
    <s v="TX501134"/>
    <x v="1"/>
    <x v="12"/>
    <n v="31.4"/>
    <n v="125.6"/>
    <d v="2025-02-14T00:00:00"/>
    <d v="2025-02-15T00:00:00"/>
    <s v="F"/>
    <x v="1"/>
    <n v="4"/>
    <x v="0"/>
    <x v="9"/>
    <x v="3"/>
    <x v="6"/>
    <x v="2"/>
  </r>
  <r>
    <s v="TX501135"/>
    <x v="6"/>
    <x v="0"/>
    <n v="94"/>
    <n v="94"/>
    <d v="2025-02-14T00:00:00"/>
    <d v="2025-02-14T00:00:00"/>
    <s v="F"/>
    <x v="1"/>
    <n v="5"/>
    <x v="0"/>
    <x v="10"/>
    <x v="7"/>
    <x v="6"/>
    <x v="2"/>
  </r>
  <r>
    <s v="TX501136"/>
    <x v="10"/>
    <x v="0"/>
    <n v="22.3"/>
    <n v="22.3"/>
    <d v="2025-02-14T00:00:00"/>
    <d v="2025-02-15T00:00:00"/>
    <s v="M"/>
    <x v="4"/>
    <n v="4"/>
    <x v="0"/>
    <x v="20"/>
    <x v="3"/>
    <x v="6"/>
    <x v="1"/>
  </r>
  <r>
    <s v="TX501137"/>
    <x v="0"/>
    <x v="0"/>
    <n v="21.9"/>
    <n v="21.9"/>
    <d v="2025-02-14T00:00:00"/>
    <d v="2025-02-17T00:00:00"/>
    <s v="F"/>
    <x v="2"/>
    <n v="4"/>
    <x v="0"/>
    <x v="21"/>
    <x v="2"/>
    <x v="6"/>
    <x v="2"/>
  </r>
  <r>
    <s v="TX501138"/>
    <x v="17"/>
    <x v="2"/>
    <n v="27"/>
    <n v="81"/>
    <d v="2025-02-14T00:00:00"/>
    <d v="2025-02-16T00:00:00"/>
    <s v="F"/>
    <x v="4"/>
    <n v="5"/>
    <x v="0"/>
    <x v="2"/>
    <x v="1"/>
    <x v="6"/>
    <x v="2"/>
  </r>
  <r>
    <s v="TX501139"/>
    <x v="2"/>
    <x v="12"/>
    <n v="149.6"/>
    <n v="598.4"/>
    <d v="2025-02-14T00:00:00"/>
    <d v="2025-02-14T00:00:00"/>
    <s v="F"/>
    <x v="4"/>
    <n v="4"/>
    <x v="0"/>
    <x v="22"/>
    <x v="7"/>
    <x v="6"/>
    <x v="2"/>
  </r>
  <r>
    <s v="TX501140"/>
    <x v="2"/>
    <x v="12"/>
    <n v="129.1"/>
    <n v="516.4"/>
    <d v="2025-02-14T00:00:00"/>
    <d v="2025-02-24T00:00:00"/>
    <s v="M"/>
    <x v="0"/>
    <n v="3"/>
    <x v="0"/>
    <x v="3"/>
    <x v="14"/>
    <x v="6"/>
    <x v="1"/>
  </r>
  <r>
    <s v="TX501141"/>
    <x v="1"/>
    <x v="4"/>
    <n v="40.4"/>
    <n v="484.79999999999995"/>
    <d v="2025-02-14T00:00:00"/>
    <d v="2025-02-15T00:00:00"/>
    <s v="M"/>
    <x v="1"/>
    <n v="3"/>
    <x v="0"/>
    <x v="3"/>
    <x v="3"/>
    <x v="6"/>
    <x v="1"/>
  </r>
  <r>
    <s v="TX501142"/>
    <x v="4"/>
    <x v="2"/>
    <n v="48.5"/>
    <n v="145.5"/>
    <d v="2025-02-14T00:00:00"/>
    <d v="2025-02-16T00:00:00"/>
    <s v="F"/>
    <x v="0"/>
    <n v="2"/>
    <x v="0"/>
    <x v="3"/>
    <x v="1"/>
    <x v="6"/>
    <x v="2"/>
  </r>
  <r>
    <s v="TX501143"/>
    <x v="9"/>
    <x v="1"/>
    <n v="37.6"/>
    <n v="75.2"/>
    <d v="2025-02-14T00:00:00"/>
    <d v="2025-02-16T00:00:00"/>
    <s v="F"/>
    <x v="1"/>
    <n v="5"/>
    <x v="0"/>
    <x v="3"/>
    <x v="1"/>
    <x v="6"/>
    <x v="2"/>
  </r>
  <r>
    <s v="TX501144"/>
    <x v="8"/>
    <x v="1"/>
    <n v="19.600000000000001"/>
    <n v="39.200000000000003"/>
    <d v="2025-02-14T00:00:00"/>
    <d v="2025-02-15T00:00:00"/>
    <s v="M"/>
    <x v="3"/>
    <n v="2"/>
    <x v="0"/>
    <x v="43"/>
    <x v="3"/>
    <x v="6"/>
    <x v="1"/>
  </r>
  <r>
    <s v="TX501145"/>
    <x v="8"/>
    <x v="9"/>
    <n v="18.5"/>
    <n v="92.5"/>
    <d v="2025-02-14T00:00:00"/>
    <d v="2025-02-15T00:00:00"/>
    <s v="F"/>
    <x v="2"/>
    <n v="3"/>
    <x v="0"/>
    <x v="6"/>
    <x v="3"/>
    <x v="6"/>
    <x v="2"/>
  </r>
  <r>
    <s v="TX501146"/>
    <x v="5"/>
    <x v="2"/>
    <n v="25.5"/>
    <n v="76.5"/>
    <d v="2025-02-14T00:00:00"/>
    <d v="2025-02-16T00:00:00"/>
    <s v="F"/>
    <x v="4"/>
    <n v="3"/>
    <x v="0"/>
    <x v="6"/>
    <x v="1"/>
    <x v="6"/>
    <x v="2"/>
  </r>
  <r>
    <s v="TX501147"/>
    <x v="2"/>
    <x v="1"/>
    <n v="94.7"/>
    <n v="189.4"/>
    <d v="2025-02-14T00:00:00"/>
    <d v="2025-02-15T00:00:00"/>
    <s v="F"/>
    <x v="2"/>
    <n v="4"/>
    <x v="0"/>
    <x v="36"/>
    <x v="3"/>
    <x v="6"/>
    <x v="2"/>
  </r>
  <r>
    <s v="TX501148"/>
    <x v="1"/>
    <x v="13"/>
    <n v="38.799999999999997"/>
    <n v="232.79999999999998"/>
    <d v="2025-02-14T00:00:00"/>
    <d v="2025-02-19T00:00:00"/>
    <s v="F"/>
    <x v="2"/>
    <n v="5"/>
    <x v="0"/>
    <x v="8"/>
    <x v="0"/>
    <x v="6"/>
    <x v="2"/>
  </r>
  <r>
    <s v="TX501149"/>
    <x v="9"/>
    <x v="1"/>
    <n v="49.4"/>
    <n v="98.8"/>
    <d v="2025-02-15T00:00:00"/>
    <d v="2025-02-23T00:00:00"/>
    <s v="M"/>
    <x v="4"/>
    <n v="3"/>
    <x v="0"/>
    <x v="8"/>
    <x v="9"/>
    <x v="6"/>
    <x v="1"/>
  </r>
  <r>
    <s v="TX501150"/>
    <x v="7"/>
    <x v="2"/>
    <n v="68"/>
    <n v="204"/>
    <d v="2025-02-15T00:00:00"/>
    <d v="2025-02-18T00:00:00"/>
    <s v="M"/>
    <x v="0"/>
    <n v="5"/>
    <x v="0"/>
    <x v="8"/>
    <x v="2"/>
    <x v="6"/>
    <x v="1"/>
  </r>
  <r>
    <s v="TX501151"/>
    <x v="15"/>
    <x v="3"/>
    <n v="63.7"/>
    <n v="445.90000000000003"/>
    <d v="2025-02-15T00:00:00"/>
    <d v="2025-02-16T00:00:00"/>
    <s v="F"/>
    <x v="2"/>
    <n v="5"/>
    <x v="0"/>
    <x v="8"/>
    <x v="3"/>
    <x v="6"/>
    <x v="2"/>
  </r>
  <r>
    <s v="TX501152"/>
    <x v="10"/>
    <x v="1"/>
    <n v="66.2"/>
    <n v="132.4"/>
    <d v="2025-02-15T00:00:00"/>
    <d v="2025-02-16T00:00:00"/>
    <s v="F"/>
    <x v="4"/>
    <n v="5"/>
    <x v="0"/>
    <x v="17"/>
    <x v="3"/>
    <x v="6"/>
    <x v="2"/>
  </r>
  <r>
    <s v="TX501153"/>
    <x v="12"/>
    <x v="2"/>
    <n v="32.299999999999997"/>
    <n v="96.899999999999991"/>
    <d v="2025-02-15T00:00:00"/>
    <d v="2025-02-16T00:00:00"/>
    <s v="O"/>
    <x v="2"/>
    <n v="3"/>
    <x v="0"/>
    <x v="9"/>
    <x v="3"/>
    <x v="6"/>
    <x v="3"/>
  </r>
  <r>
    <s v="TX501154"/>
    <x v="4"/>
    <x v="1"/>
    <n v="66.900000000000006"/>
    <n v="133.80000000000001"/>
    <d v="2025-02-15T00:00:00"/>
    <d v="2025-02-18T00:00:00"/>
    <s v="M"/>
    <x v="1"/>
    <n v="4"/>
    <x v="0"/>
    <x v="11"/>
    <x v="2"/>
    <x v="6"/>
    <x v="1"/>
  </r>
  <r>
    <s v="TX501155"/>
    <x v="4"/>
    <x v="4"/>
    <n v="25.2"/>
    <n v="302.39999999999998"/>
    <d v="2025-02-15T00:00:00"/>
    <d v="2025-02-19T00:00:00"/>
    <s v="F"/>
    <x v="0"/>
    <n v="3"/>
    <x v="0"/>
    <x v="11"/>
    <x v="5"/>
    <x v="6"/>
    <x v="2"/>
  </r>
  <r>
    <s v="TX501156"/>
    <x v="10"/>
    <x v="13"/>
    <n v="29.5"/>
    <n v="177"/>
    <d v="2025-02-15T00:00:00"/>
    <d v="2025-02-16T00:00:00"/>
    <s v="M"/>
    <x v="2"/>
    <n v="4"/>
    <x v="0"/>
    <x v="11"/>
    <x v="3"/>
    <x v="6"/>
    <x v="1"/>
  </r>
  <r>
    <s v="TX501157"/>
    <x v="8"/>
    <x v="9"/>
    <n v="21.6"/>
    <n v="108"/>
    <d v="2025-02-15T00:00:00"/>
    <d v="2025-02-17T00:00:00"/>
    <s v="F"/>
    <x v="0"/>
    <n v="5"/>
    <x v="0"/>
    <x v="32"/>
    <x v="1"/>
    <x v="6"/>
    <x v="2"/>
  </r>
  <r>
    <s v="TX501158"/>
    <x v="12"/>
    <x v="2"/>
    <n v="69"/>
    <n v="207"/>
    <d v="2025-02-15T00:00:00"/>
    <d v="2025-02-16T00:00:00"/>
    <s v="F"/>
    <x v="0"/>
    <n v="4"/>
    <x v="0"/>
    <x v="18"/>
    <x v="3"/>
    <x v="6"/>
    <x v="2"/>
  </r>
  <r>
    <s v="TX501159"/>
    <x v="7"/>
    <x v="1"/>
    <n v="115"/>
    <n v="230"/>
    <d v="2025-02-15T00:00:00"/>
    <d v="2025-02-19T00:00:00"/>
    <s v="M"/>
    <x v="0"/>
    <n v="5"/>
    <x v="0"/>
    <x v="18"/>
    <x v="5"/>
    <x v="6"/>
    <x v="1"/>
  </r>
  <r>
    <s v="TX501160"/>
    <x v="2"/>
    <x v="1"/>
    <n v="109.3"/>
    <n v="218.6"/>
    <d v="2025-02-15T00:00:00"/>
    <d v="2025-02-17T00:00:00"/>
    <s v=""/>
    <x v="3"/>
    <n v="3"/>
    <x v="0"/>
    <x v="19"/>
    <x v="1"/>
    <x v="6"/>
    <x v="0"/>
  </r>
  <r>
    <s v="TX501161"/>
    <x v="9"/>
    <x v="1"/>
    <n v="66.599999999999994"/>
    <n v="133.19999999999999"/>
    <d v="2025-02-15T00:00:00"/>
    <d v="2025-02-18T00:00:00"/>
    <s v=""/>
    <x v="4"/>
    <n v="3"/>
    <x v="0"/>
    <x v="19"/>
    <x v="2"/>
    <x v="6"/>
    <x v="0"/>
  </r>
  <r>
    <s v="TX501162"/>
    <x v="12"/>
    <x v="9"/>
    <n v="47.7"/>
    <n v="238.5"/>
    <d v="2025-02-15T00:00:00"/>
    <d v="2025-02-16T00:00:00"/>
    <s v="M"/>
    <x v="3"/>
    <n v="5"/>
    <x v="0"/>
    <x v="21"/>
    <x v="3"/>
    <x v="6"/>
    <x v="1"/>
  </r>
  <r>
    <s v="TX501163"/>
    <x v="8"/>
    <x v="1"/>
    <n v="46"/>
    <n v="92"/>
    <d v="2025-02-15T00:00:00"/>
    <d v="2025-02-16T00:00:00"/>
    <s v="F"/>
    <x v="4"/>
    <n v="2"/>
    <x v="0"/>
    <x v="22"/>
    <x v="3"/>
    <x v="6"/>
    <x v="2"/>
  </r>
  <r>
    <s v="TX501164"/>
    <x v="1"/>
    <x v="13"/>
    <n v="39.299999999999997"/>
    <n v="235.79999999999998"/>
    <d v="2025-02-15T00:00:00"/>
    <d v="2025-02-17T00:00:00"/>
    <s v="M"/>
    <x v="3"/>
    <n v="5"/>
    <x v="0"/>
    <x v="3"/>
    <x v="1"/>
    <x v="6"/>
    <x v="1"/>
  </r>
  <r>
    <s v="TX501165"/>
    <x v="9"/>
    <x v="0"/>
    <n v="70.2"/>
    <n v="70.2"/>
    <d v="2025-02-15T00:00:00"/>
    <d v="2025-02-16T00:00:00"/>
    <s v="F"/>
    <x v="0"/>
    <n v="2"/>
    <x v="0"/>
    <x v="3"/>
    <x v="3"/>
    <x v="6"/>
    <x v="2"/>
  </r>
  <r>
    <s v="TX501166"/>
    <x v="3"/>
    <x v="12"/>
    <n v="71.5"/>
    <n v="286"/>
    <d v="2025-02-15T00:00:00"/>
    <d v="2025-02-15T00:00:00"/>
    <s v="F"/>
    <x v="1"/>
    <n v="5"/>
    <x v="0"/>
    <x v="3"/>
    <x v="7"/>
    <x v="6"/>
    <x v="2"/>
  </r>
  <r>
    <s v="TX501167"/>
    <x v="10"/>
    <x v="3"/>
    <n v="31"/>
    <n v="217"/>
    <d v="2025-02-15T00:00:00"/>
    <d v="2025-02-22T00:00:00"/>
    <s v="F"/>
    <x v="3"/>
    <n v="5"/>
    <x v="0"/>
    <x v="3"/>
    <x v="6"/>
    <x v="6"/>
    <x v="2"/>
  </r>
  <r>
    <s v="TX501168"/>
    <x v="2"/>
    <x v="9"/>
    <n v="68.2"/>
    <n v="341"/>
    <d v="2025-02-15T00:00:00"/>
    <d v="2025-02-20T00:00:00"/>
    <s v="F"/>
    <x v="0"/>
    <n v="5"/>
    <x v="0"/>
    <x v="3"/>
    <x v="0"/>
    <x v="6"/>
    <x v="2"/>
  </r>
  <r>
    <s v="TX501169"/>
    <x v="2"/>
    <x v="0"/>
    <n v="91.4"/>
    <n v="91.4"/>
    <d v="2025-02-15T00:00:00"/>
    <d v="2025-02-19T00:00:00"/>
    <s v="F"/>
    <x v="1"/>
    <n v="5"/>
    <x v="0"/>
    <x v="6"/>
    <x v="5"/>
    <x v="6"/>
    <x v="2"/>
  </r>
  <r>
    <s v="TX501170"/>
    <x v="6"/>
    <x v="7"/>
    <n v="112.9"/>
    <n v="1129"/>
    <d v="2025-02-15T00:00:00"/>
    <d v="2025-02-16T00:00:00"/>
    <s v="F"/>
    <x v="0"/>
    <n v="4"/>
    <x v="0"/>
    <x v="6"/>
    <x v="3"/>
    <x v="6"/>
    <x v="2"/>
  </r>
  <r>
    <s v="TX501171"/>
    <x v="17"/>
    <x v="11"/>
    <n v="33.700000000000003"/>
    <n v="303.3"/>
    <d v="2025-02-15T00:00:00"/>
    <d v="2025-02-16T00:00:00"/>
    <s v="F"/>
    <x v="1"/>
    <n v="5"/>
    <x v="0"/>
    <x v="8"/>
    <x v="3"/>
    <x v="6"/>
    <x v="2"/>
  </r>
  <r>
    <s v="TX501172"/>
    <x v="15"/>
    <x v="7"/>
    <n v="35.299999999999997"/>
    <n v="353"/>
    <d v="2025-02-15T00:00:00"/>
    <d v="2025-02-17T00:00:00"/>
    <s v="M"/>
    <x v="2"/>
    <n v="4"/>
    <x v="0"/>
    <x v="8"/>
    <x v="1"/>
    <x v="6"/>
    <x v="1"/>
  </r>
  <r>
    <s v="TX501173"/>
    <x v="18"/>
    <x v="2"/>
    <n v="45.6"/>
    <n v="136.80000000000001"/>
    <d v="2025-02-15T00:00:00"/>
    <d v="2025-02-19T00:00:00"/>
    <s v="M"/>
    <x v="3"/>
    <n v="4"/>
    <x v="0"/>
    <x v="8"/>
    <x v="5"/>
    <x v="6"/>
    <x v="1"/>
  </r>
  <r>
    <s v="TX501174"/>
    <x v="7"/>
    <x v="3"/>
    <n v="47.1"/>
    <n v="329.7"/>
    <d v="2025-02-15T00:00:00"/>
    <d v="2025-02-16T00:00:00"/>
    <s v="F"/>
    <x v="4"/>
    <n v="5"/>
    <x v="0"/>
    <x v="9"/>
    <x v="3"/>
    <x v="6"/>
    <x v="2"/>
  </r>
  <r>
    <s v="TX501175"/>
    <x v="8"/>
    <x v="9"/>
    <n v="16.2"/>
    <n v="81"/>
    <d v="2025-02-15T00:00:00"/>
    <d v="2025-02-17T00:00:00"/>
    <s v="F"/>
    <x v="3"/>
    <n v="5"/>
    <x v="0"/>
    <x v="19"/>
    <x v="1"/>
    <x v="6"/>
    <x v="2"/>
  </r>
  <r>
    <s v="TX501176"/>
    <x v="1"/>
    <x v="1"/>
    <n v="159.69999999999999"/>
    <n v="319.39999999999998"/>
    <d v="2025-02-16T00:00:00"/>
    <d v="2025-02-17T00:00:00"/>
    <s v="M"/>
    <x v="4"/>
    <n v="4"/>
    <x v="0"/>
    <x v="13"/>
    <x v="3"/>
    <x v="7"/>
    <x v="1"/>
  </r>
  <r>
    <s v="TX501177"/>
    <x v="8"/>
    <x v="12"/>
    <n v="19"/>
    <n v="76"/>
    <d v="2025-02-16T00:00:00"/>
    <d v="2025-02-23T00:00:00"/>
    <s v="F"/>
    <x v="2"/>
    <n v="5"/>
    <x v="0"/>
    <x v="21"/>
    <x v="6"/>
    <x v="7"/>
    <x v="2"/>
  </r>
  <r>
    <s v="TX501178"/>
    <x v="6"/>
    <x v="13"/>
    <n v="91.1"/>
    <n v="546.59999999999991"/>
    <d v="2025-02-16T00:00:00"/>
    <d v="2025-02-25T00:00:00"/>
    <s v="F"/>
    <x v="4"/>
    <n v="4"/>
    <x v="0"/>
    <x v="21"/>
    <x v="8"/>
    <x v="7"/>
    <x v="2"/>
  </r>
  <r>
    <s v="TX501179"/>
    <x v="2"/>
    <x v="9"/>
    <n v="94.1"/>
    <n v="470.5"/>
    <d v="2025-02-16T00:00:00"/>
    <d v="2025-02-19T00:00:00"/>
    <s v=""/>
    <x v="1"/>
    <n v="3"/>
    <x v="0"/>
    <x v="21"/>
    <x v="2"/>
    <x v="7"/>
    <x v="0"/>
  </r>
  <r>
    <s v="TX501180"/>
    <x v="9"/>
    <x v="11"/>
    <n v="21.1"/>
    <n v="189.9"/>
    <d v="2025-02-16T00:00:00"/>
    <d v="2025-02-17T00:00:00"/>
    <s v="F"/>
    <x v="4"/>
    <n v="5"/>
    <x v="0"/>
    <x v="51"/>
    <x v="3"/>
    <x v="7"/>
    <x v="2"/>
  </r>
  <r>
    <s v="TX501181"/>
    <x v="8"/>
    <x v="3"/>
    <n v="15.3"/>
    <n v="107.10000000000001"/>
    <d v="2025-02-16T00:00:00"/>
    <d v="2025-02-24T00:00:00"/>
    <s v="F"/>
    <x v="2"/>
    <n v="4"/>
    <x v="0"/>
    <x v="1"/>
    <x v="9"/>
    <x v="7"/>
    <x v="2"/>
  </r>
  <r>
    <s v="TX501182"/>
    <x v="15"/>
    <x v="12"/>
    <n v="21.3"/>
    <n v="85.2"/>
    <d v="2025-02-16T00:00:00"/>
    <d v="2025-02-19T00:00:00"/>
    <s v="M"/>
    <x v="1"/>
    <n v="4"/>
    <x v="0"/>
    <x v="3"/>
    <x v="2"/>
    <x v="7"/>
    <x v="1"/>
  </r>
  <r>
    <s v="TX501183"/>
    <x v="0"/>
    <x v="1"/>
    <n v="23.2"/>
    <n v="46.4"/>
    <d v="2025-02-16T00:00:00"/>
    <d v="2025-02-16T00:00:00"/>
    <s v=""/>
    <x v="3"/>
    <n v="3"/>
    <x v="0"/>
    <x v="3"/>
    <x v="7"/>
    <x v="7"/>
    <x v="0"/>
  </r>
  <r>
    <s v="TX501184"/>
    <x v="4"/>
    <x v="2"/>
    <n v="25.7"/>
    <n v="77.099999999999994"/>
    <d v="2025-02-16T00:00:00"/>
    <d v="2025-02-17T00:00:00"/>
    <s v="M"/>
    <x v="4"/>
    <n v="4"/>
    <x v="0"/>
    <x v="3"/>
    <x v="3"/>
    <x v="7"/>
    <x v="1"/>
  </r>
  <r>
    <s v="TX501185"/>
    <x v="0"/>
    <x v="11"/>
    <n v="31.6"/>
    <n v="284.40000000000003"/>
    <d v="2025-02-16T00:00:00"/>
    <d v="2025-02-18T00:00:00"/>
    <s v="F"/>
    <x v="0"/>
    <n v="4"/>
    <x v="0"/>
    <x v="3"/>
    <x v="1"/>
    <x v="7"/>
    <x v="2"/>
  </r>
  <r>
    <s v="TX501186"/>
    <x v="6"/>
    <x v="0"/>
    <n v="64.2"/>
    <n v="64.2"/>
    <d v="2025-02-16T00:00:00"/>
    <d v="2025-02-21T00:00:00"/>
    <s v="M"/>
    <x v="0"/>
    <n v="4"/>
    <x v="0"/>
    <x v="3"/>
    <x v="0"/>
    <x v="7"/>
    <x v="1"/>
  </r>
  <r>
    <s v="TX501187"/>
    <x v="8"/>
    <x v="1"/>
    <n v="55.8"/>
    <n v="111.6"/>
    <d v="2025-02-16T00:00:00"/>
    <d v="2025-02-18T00:00:00"/>
    <s v=""/>
    <x v="0"/>
    <n v="4"/>
    <x v="0"/>
    <x v="3"/>
    <x v="1"/>
    <x v="7"/>
    <x v="0"/>
  </r>
  <r>
    <s v="TX501188"/>
    <x v="8"/>
    <x v="1"/>
    <n v="28.1"/>
    <n v="56.2"/>
    <d v="2025-02-16T00:00:00"/>
    <d v="2025-02-17T00:00:00"/>
    <s v="F"/>
    <x v="4"/>
    <n v="3"/>
    <x v="0"/>
    <x v="3"/>
    <x v="3"/>
    <x v="7"/>
    <x v="2"/>
  </r>
  <r>
    <s v="TX501189"/>
    <x v="0"/>
    <x v="1"/>
    <n v="11.6"/>
    <n v="23.2"/>
    <d v="2025-02-16T00:00:00"/>
    <d v="2025-02-18T00:00:00"/>
    <s v="F"/>
    <x v="1"/>
    <n v="4"/>
    <x v="0"/>
    <x v="24"/>
    <x v="1"/>
    <x v="7"/>
    <x v="2"/>
  </r>
  <r>
    <s v="TX501190"/>
    <x v="5"/>
    <x v="2"/>
    <n v="50.4"/>
    <n v="151.19999999999999"/>
    <d v="2025-02-16T00:00:00"/>
    <d v="2025-02-17T00:00:00"/>
    <s v="M"/>
    <x v="4"/>
    <n v="5"/>
    <x v="0"/>
    <x v="25"/>
    <x v="3"/>
    <x v="7"/>
    <x v="1"/>
  </r>
  <r>
    <s v="TX501191"/>
    <x v="6"/>
    <x v="13"/>
    <n v="48.3"/>
    <n v="289.79999999999995"/>
    <d v="2025-02-16T00:00:00"/>
    <d v="2025-02-20T00:00:00"/>
    <s v="F"/>
    <x v="0"/>
    <n v="4"/>
    <x v="0"/>
    <x v="25"/>
    <x v="5"/>
    <x v="7"/>
    <x v="2"/>
  </r>
  <r>
    <s v="TX501192"/>
    <x v="17"/>
    <x v="3"/>
    <n v="32.200000000000003"/>
    <n v="225.40000000000003"/>
    <d v="2025-02-16T00:00:00"/>
    <d v="2025-02-18T00:00:00"/>
    <s v="F"/>
    <x v="2"/>
    <n v="4"/>
    <x v="0"/>
    <x v="25"/>
    <x v="1"/>
    <x v="7"/>
    <x v="2"/>
  </r>
  <r>
    <s v="TX501193"/>
    <x v="7"/>
    <x v="31"/>
    <n v="48.5"/>
    <n v="1358"/>
    <d v="2025-02-16T00:00:00"/>
    <d v="2025-02-17T00:00:00"/>
    <s v="M"/>
    <x v="0"/>
    <n v="4"/>
    <x v="0"/>
    <x v="5"/>
    <x v="3"/>
    <x v="7"/>
    <x v="1"/>
  </r>
  <r>
    <s v="TX501194"/>
    <x v="2"/>
    <x v="9"/>
    <n v="62"/>
    <n v="310"/>
    <d v="2025-02-16T00:00:00"/>
    <d v="2025-02-19T00:00:00"/>
    <s v="F"/>
    <x v="1"/>
    <n v="4"/>
    <x v="0"/>
    <x v="6"/>
    <x v="2"/>
    <x v="7"/>
    <x v="2"/>
  </r>
  <r>
    <s v="TX501195"/>
    <x v="8"/>
    <x v="2"/>
    <n v="32.1"/>
    <n v="96.300000000000011"/>
    <d v="2025-02-17T00:00:00"/>
    <d v="2025-02-19T00:00:00"/>
    <s v="M"/>
    <x v="0"/>
    <n v="4"/>
    <x v="0"/>
    <x v="6"/>
    <x v="1"/>
    <x v="7"/>
    <x v="1"/>
  </r>
  <r>
    <s v="TX501196"/>
    <x v="12"/>
    <x v="2"/>
    <n v="106.1"/>
    <n v="318.29999999999995"/>
    <d v="2025-02-17T00:00:00"/>
    <d v="2025-02-19T00:00:00"/>
    <s v="M"/>
    <x v="0"/>
    <n v="3"/>
    <x v="0"/>
    <x v="7"/>
    <x v="1"/>
    <x v="7"/>
    <x v="1"/>
  </r>
  <r>
    <s v="TX501197"/>
    <x v="10"/>
    <x v="2"/>
    <n v="23.5"/>
    <n v="70.5"/>
    <d v="2025-02-17T00:00:00"/>
    <d v="2025-02-20T00:00:00"/>
    <s v="M"/>
    <x v="0"/>
    <n v="2"/>
    <x v="0"/>
    <x v="7"/>
    <x v="2"/>
    <x v="7"/>
    <x v="1"/>
  </r>
  <r>
    <s v="TX501198"/>
    <x v="1"/>
    <x v="1"/>
    <n v="35.6"/>
    <n v="71.2"/>
    <d v="2025-02-17T00:00:00"/>
    <d v="2025-02-22T00:00:00"/>
    <s v="M"/>
    <x v="4"/>
    <n v="4"/>
    <x v="0"/>
    <x v="8"/>
    <x v="0"/>
    <x v="7"/>
    <x v="1"/>
  </r>
  <r>
    <s v="TX501199"/>
    <x v="1"/>
    <x v="1"/>
    <n v="63.5"/>
    <n v="127"/>
    <d v="2025-02-17T00:00:00"/>
    <d v="2025-02-17T00:00:00"/>
    <s v="F"/>
    <x v="1"/>
    <n v="5"/>
    <x v="0"/>
    <x v="8"/>
    <x v="7"/>
    <x v="7"/>
    <x v="2"/>
  </r>
  <r>
    <s v="TX501200"/>
    <x v="6"/>
    <x v="3"/>
    <n v="82.9"/>
    <n v="580.30000000000007"/>
    <d v="2025-02-17T00:00:00"/>
    <d v="2025-02-22T00:00:00"/>
    <s v="F"/>
    <x v="4"/>
    <n v="4"/>
    <x v="0"/>
    <x v="9"/>
    <x v="0"/>
    <x v="7"/>
    <x v="2"/>
  </r>
  <r>
    <s v="TX501201"/>
    <x v="6"/>
    <x v="1"/>
    <n v="83.6"/>
    <n v="167.2"/>
    <d v="2025-02-17T00:00:00"/>
    <d v="2025-02-22T00:00:00"/>
    <s v="F"/>
    <x v="0"/>
    <n v="4"/>
    <x v="0"/>
    <x v="11"/>
    <x v="0"/>
    <x v="7"/>
    <x v="2"/>
  </r>
  <r>
    <s v="TX501202"/>
    <x v="4"/>
    <x v="1"/>
    <n v="29.4"/>
    <n v="58.8"/>
    <d v="2025-02-17T00:00:00"/>
    <d v="2025-02-17T00:00:00"/>
    <s v="F"/>
    <x v="0"/>
    <n v="3"/>
    <x v="0"/>
    <x v="30"/>
    <x v="7"/>
    <x v="7"/>
    <x v="2"/>
  </r>
  <r>
    <s v="TX501203"/>
    <x v="2"/>
    <x v="2"/>
    <n v="107.1"/>
    <n v="321.29999999999995"/>
    <d v="2025-02-17T00:00:00"/>
    <d v="2025-02-21T00:00:00"/>
    <s v="F"/>
    <x v="2"/>
    <n v="4"/>
    <x v="0"/>
    <x v="20"/>
    <x v="5"/>
    <x v="7"/>
    <x v="2"/>
  </r>
  <r>
    <s v="TX501204"/>
    <x v="2"/>
    <x v="0"/>
    <n v="62.7"/>
    <n v="62.7"/>
    <d v="2025-02-17T00:00:00"/>
    <d v="2025-02-21T00:00:00"/>
    <s v="M"/>
    <x v="1"/>
    <n v="4"/>
    <x v="0"/>
    <x v="21"/>
    <x v="5"/>
    <x v="7"/>
    <x v="1"/>
  </r>
  <r>
    <s v="TX501205"/>
    <x v="11"/>
    <x v="0"/>
    <n v="41.6"/>
    <n v="41.6"/>
    <d v="2025-02-17T00:00:00"/>
    <d v="2025-02-18T00:00:00"/>
    <s v="M"/>
    <x v="0"/>
    <n v="3"/>
    <x v="0"/>
    <x v="1"/>
    <x v="3"/>
    <x v="7"/>
    <x v="1"/>
  </r>
  <r>
    <s v="TX501206"/>
    <x v="6"/>
    <x v="0"/>
    <n v="44.2"/>
    <n v="44.2"/>
    <d v="2025-02-17T00:00:00"/>
    <d v="2025-02-18T00:00:00"/>
    <s v="O"/>
    <x v="0"/>
    <n v="3"/>
    <x v="0"/>
    <x v="1"/>
    <x v="3"/>
    <x v="7"/>
    <x v="3"/>
  </r>
  <r>
    <s v="TX501207"/>
    <x v="4"/>
    <x v="13"/>
    <n v="40.4"/>
    <n v="242.39999999999998"/>
    <d v="2025-02-17T00:00:00"/>
    <d v="2025-03-02T00:00:00"/>
    <s v="F"/>
    <x v="2"/>
    <n v="4"/>
    <x v="0"/>
    <x v="22"/>
    <x v="10"/>
    <x v="7"/>
    <x v="2"/>
  </r>
  <r>
    <s v="TX501208"/>
    <x v="15"/>
    <x v="13"/>
    <n v="59.6"/>
    <n v="357.6"/>
    <d v="2025-02-17T00:00:00"/>
    <d v="2025-02-18T00:00:00"/>
    <s v="F"/>
    <x v="4"/>
    <n v="4"/>
    <x v="0"/>
    <x v="34"/>
    <x v="3"/>
    <x v="7"/>
    <x v="2"/>
  </r>
  <r>
    <s v="TX501209"/>
    <x v="17"/>
    <x v="4"/>
    <n v="63.8"/>
    <n v="765.59999999999991"/>
    <d v="2025-02-17T00:00:00"/>
    <d v="2025-02-18T00:00:00"/>
    <s v="M"/>
    <x v="1"/>
    <n v="4"/>
    <x v="0"/>
    <x v="3"/>
    <x v="3"/>
    <x v="7"/>
    <x v="1"/>
  </r>
  <r>
    <s v="TX501210"/>
    <x v="9"/>
    <x v="13"/>
    <n v="30.8"/>
    <n v="184.8"/>
    <d v="2025-02-17T00:00:00"/>
    <d v="2025-02-19T00:00:00"/>
    <s v="M"/>
    <x v="4"/>
    <n v="4"/>
    <x v="0"/>
    <x v="3"/>
    <x v="1"/>
    <x v="7"/>
    <x v="1"/>
  </r>
  <r>
    <s v="TX501211"/>
    <x v="1"/>
    <x v="1"/>
    <n v="41.5"/>
    <n v="83"/>
    <d v="2025-02-17T00:00:00"/>
    <d v="2025-02-20T00:00:00"/>
    <s v="O"/>
    <x v="0"/>
    <n v="4"/>
    <x v="0"/>
    <x v="3"/>
    <x v="2"/>
    <x v="7"/>
    <x v="3"/>
  </r>
  <r>
    <s v="TX501212"/>
    <x v="10"/>
    <x v="12"/>
    <n v="44.7"/>
    <n v="178.8"/>
    <d v="2025-02-17T00:00:00"/>
    <d v="2025-02-19T00:00:00"/>
    <s v="F"/>
    <x v="2"/>
    <n v="3"/>
    <x v="0"/>
    <x v="3"/>
    <x v="1"/>
    <x v="7"/>
    <x v="2"/>
  </r>
  <r>
    <s v="TX501213"/>
    <x v="12"/>
    <x v="1"/>
    <n v="64.099999999999994"/>
    <n v="128.19999999999999"/>
    <d v="2025-02-17T00:00:00"/>
    <d v="2025-02-21T00:00:00"/>
    <s v="F"/>
    <x v="1"/>
    <n v="2"/>
    <x v="0"/>
    <x v="3"/>
    <x v="5"/>
    <x v="7"/>
    <x v="2"/>
  </r>
  <r>
    <s v="TX501214"/>
    <x v="8"/>
    <x v="0"/>
    <n v="15.9"/>
    <n v="15.9"/>
    <d v="2025-02-17T00:00:00"/>
    <d v="2025-02-20T00:00:00"/>
    <s v=""/>
    <x v="1"/>
    <n v="4"/>
    <x v="0"/>
    <x v="3"/>
    <x v="2"/>
    <x v="7"/>
    <x v="0"/>
  </r>
  <r>
    <s v="TX501215"/>
    <x v="6"/>
    <x v="1"/>
    <n v="78.7"/>
    <n v="157.4"/>
    <d v="2025-02-17T00:00:00"/>
    <d v="2025-02-17T00:00:00"/>
    <s v="F"/>
    <x v="2"/>
    <n v="3"/>
    <x v="0"/>
    <x v="3"/>
    <x v="7"/>
    <x v="7"/>
    <x v="2"/>
  </r>
  <r>
    <s v="TX501216"/>
    <x v="5"/>
    <x v="4"/>
    <n v="29.6"/>
    <n v="355.20000000000005"/>
    <d v="2025-02-17T00:00:00"/>
    <d v="2025-02-21T00:00:00"/>
    <s v="M"/>
    <x v="2"/>
    <n v="2"/>
    <x v="0"/>
    <x v="3"/>
    <x v="5"/>
    <x v="7"/>
    <x v="1"/>
  </r>
  <r>
    <s v="TX501217"/>
    <x v="8"/>
    <x v="12"/>
    <n v="21.5"/>
    <n v="86"/>
    <d v="2025-02-17T00:00:00"/>
    <d v="2025-02-20T00:00:00"/>
    <s v="M"/>
    <x v="1"/>
    <n v="4"/>
    <x v="0"/>
    <x v="3"/>
    <x v="2"/>
    <x v="7"/>
    <x v="1"/>
  </r>
  <r>
    <s v="TX501218"/>
    <x v="9"/>
    <x v="2"/>
    <n v="74.900000000000006"/>
    <n v="224.70000000000002"/>
    <d v="2025-02-17T00:00:00"/>
    <d v="2025-02-26T00:00:00"/>
    <s v="M"/>
    <x v="3"/>
    <n v="3"/>
    <x v="0"/>
    <x v="3"/>
    <x v="8"/>
    <x v="7"/>
    <x v="1"/>
  </r>
  <r>
    <s v="TX501219"/>
    <x v="10"/>
    <x v="13"/>
    <n v="45"/>
    <n v="270"/>
    <d v="2025-02-17T00:00:00"/>
    <d v="2025-02-22T00:00:00"/>
    <s v="F"/>
    <x v="2"/>
    <n v="4"/>
    <x v="0"/>
    <x v="3"/>
    <x v="0"/>
    <x v="7"/>
    <x v="2"/>
  </r>
  <r>
    <s v="TX501220"/>
    <x v="7"/>
    <x v="33"/>
    <n v="37.9"/>
    <n v="1288.5999999999999"/>
    <d v="2025-02-17T00:00:00"/>
    <d v="2025-02-18T00:00:00"/>
    <s v="M"/>
    <x v="0"/>
    <n v="4"/>
    <x v="0"/>
    <x v="3"/>
    <x v="3"/>
    <x v="7"/>
    <x v="1"/>
  </r>
  <r>
    <s v="TX501221"/>
    <x v="6"/>
    <x v="2"/>
    <n v="56.6"/>
    <n v="169.8"/>
    <d v="2025-02-17T00:00:00"/>
    <d v="2025-02-18T00:00:00"/>
    <s v="M"/>
    <x v="3"/>
    <n v="4"/>
    <x v="0"/>
    <x v="3"/>
    <x v="3"/>
    <x v="7"/>
    <x v="1"/>
  </r>
  <r>
    <s v="TX501222"/>
    <x v="3"/>
    <x v="15"/>
    <n v="84.5"/>
    <n v="1098.5"/>
    <d v="2025-02-17T00:00:00"/>
    <d v="2025-02-20T00:00:00"/>
    <s v="F"/>
    <x v="1"/>
    <n v="2"/>
    <x v="0"/>
    <x v="3"/>
    <x v="2"/>
    <x v="7"/>
    <x v="2"/>
  </r>
  <r>
    <s v="TX501223"/>
    <x v="2"/>
    <x v="9"/>
    <n v="105.4"/>
    <n v="527"/>
    <d v="2025-02-17T00:00:00"/>
    <d v="2025-02-19T00:00:00"/>
    <s v="F"/>
    <x v="1"/>
    <n v="3"/>
    <x v="0"/>
    <x v="3"/>
    <x v="1"/>
    <x v="7"/>
    <x v="2"/>
  </r>
  <r>
    <s v="TX501224"/>
    <x v="18"/>
    <x v="3"/>
    <n v="39.4"/>
    <n v="275.8"/>
    <d v="2025-02-18T00:00:00"/>
    <d v="2025-02-18T00:00:00"/>
    <s v="M"/>
    <x v="1"/>
    <n v="4"/>
    <x v="0"/>
    <x v="37"/>
    <x v="7"/>
    <x v="7"/>
    <x v="1"/>
  </r>
  <r>
    <s v="TX501225"/>
    <x v="19"/>
    <x v="2"/>
    <n v="38"/>
    <n v="114"/>
    <d v="2025-02-18T00:00:00"/>
    <d v="2025-02-21T00:00:00"/>
    <s v="M"/>
    <x v="4"/>
    <n v="3"/>
    <x v="0"/>
    <x v="6"/>
    <x v="2"/>
    <x v="7"/>
    <x v="1"/>
  </r>
  <r>
    <s v="TX501226"/>
    <x v="17"/>
    <x v="12"/>
    <n v="42.5"/>
    <n v="170"/>
    <d v="2025-02-18T00:00:00"/>
    <d v="2025-02-20T00:00:00"/>
    <s v=""/>
    <x v="0"/>
    <n v="4"/>
    <x v="0"/>
    <x v="6"/>
    <x v="1"/>
    <x v="7"/>
    <x v="0"/>
  </r>
  <r>
    <s v="TX501227"/>
    <x v="15"/>
    <x v="0"/>
    <n v="62.3"/>
    <n v="62.3"/>
    <d v="2025-02-18T00:00:00"/>
    <d v="2025-02-27T00:00:00"/>
    <s v="M"/>
    <x v="0"/>
    <n v="5"/>
    <x v="0"/>
    <x v="6"/>
    <x v="8"/>
    <x v="7"/>
    <x v="1"/>
  </r>
  <r>
    <s v="TX501228"/>
    <x v="6"/>
    <x v="9"/>
    <n v="49.1"/>
    <n v="245.5"/>
    <d v="2025-02-18T00:00:00"/>
    <d v="2025-02-20T00:00:00"/>
    <s v="F"/>
    <x v="1"/>
    <n v="5"/>
    <x v="0"/>
    <x v="7"/>
    <x v="1"/>
    <x v="7"/>
    <x v="2"/>
  </r>
  <r>
    <s v="TX501229"/>
    <x v="3"/>
    <x v="1"/>
    <n v="30.5"/>
    <n v="61"/>
    <d v="2025-02-18T00:00:00"/>
    <d v="2025-02-21T00:00:00"/>
    <s v="M"/>
    <x v="0"/>
    <n v="5"/>
    <x v="0"/>
    <x v="8"/>
    <x v="2"/>
    <x v="7"/>
    <x v="1"/>
  </r>
  <r>
    <s v="TX501230"/>
    <x v="2"/>
    <x v="1"/>
    <n v="154.80000000000001"/>
    <n v="309.60000000000002"/>
    <d v="2025-02-18T00:00:00"/>
    <d v="2025-02-21T00:00:00"/>
    <s v="F"/>
    <x v="1"/>
    <n v="2"/>
    <x v="0"/>
    <x v="8"/>
    <x v="2"/>
    <x v="7"/>
    <x v="2"/>
  </r>
  <r>
    <s v="TX501231"/>
    <x v="6"/>
    <x v="0"/>
    <n v="45"/>
    <n v="45"/>
    <d v="2025-02-18T00:00:00"/>
    <d v="2025-02-22T00:00:00"/>
    <s v="M"/>
    <x v="3"/>
    <n v="3"/>
    <x v="0"/>
    <x v="8"/>
    <x v="5"/>
    <x v="7"/>
    <x v="1"/>
  </r>
  <r>
    <s v="TX501232"/>
    <x v="0"/>
    <x v="3"/>
    <n v="15.3"/>
    <n v="107.10000000000001"/>
    <d v="2025-02-18T00:00:00"/>
    <d v="2025-02-19T00:00:00"/>
    <s v="M"/>
    <x v="0"/>
    <n v="5"/>
    <x v="0"/>
    <x v="8"/>
    <x v="3"/>
    <x v="7"/>
    <x v="1"/>
  </r>
  <r>
    <s v="TX501233"/>
    <x v="2"/>
    <x v="5"/>
    <n v="88.6"/>
    <n v="974.59999999999991"/>
    <d v="2025-02-18T00:00:00"/>
    <d v="2025-02-21T00:00:00"/>
    <s v="F"/>
    <x v="0"/>
    <n v="2"/>
    <x v="0"/>
    <x v="17"/>
    <x v="2"/>
    <x v="7"/>
    <x v="2"/>
  </r>
  <r>
    <s v="TX501234"/>
    <x v="9"/>
    <x v="1"/>
    <n v="49.7"/>
    <n v="99.4"/>
    <d v="2025-02-18T00:00:00"/>
    <d v="2025-02-20T00:00:00"/>
    <s v="O"/>
    <x v="4"/>
    <n v="4"/>
    <x v="0"/>
    <x v="10"/>
    <x v="1"/>
    <x v="7"/>
    <x v="3"/>
  </r>
  <r>
    <s v="TX501235"/>
    <x v="10"/>
    <x v="0"/>
    <n v="29"/>
    <n v="29"/>
    <d v="2025-02-18T00:00:00"/>
    <d v="2025-02-19T00:00:00"/>
    <s v="M"/>
    <x v="0"/>
    <n v="4"/>
    <x v="0"/>
    <x v="11"/>
    <x v="3"/>
    <x v="7"/>
    <x v="1"/>
  </r>
  <r>
    <s v="TX501236"/>
    <x v="1"/>
    <x v="0"/>
    <n v="60.7"/>
    <n v="60.7"/>
    <d v="2025-02-18T00:00:00"/>
    <d v="2025-02-19T00:00:00"/>
    <s v="O"/>
    <x v="0"/>
    <n v="3"/>
    <x v="0"/>
    <x v="11"/>
    <x v="3"/>
    <x v="7"/>
    <x v="3"/>
  </r>
  <r>
    <s v="TX501237"/>
    <x v="17"/>
    <x v="12"/>
    <n v="87.4"/>
    <n v="349.6"/>
    <d v="2025-02-18T00:00:00"/>
    <d v="2025-02-20T00:00:00"/>
    <s v=""/>
    <x v="0"/>
    <n v="4"/>
    <x v="0"/>
    <x v="11"/>
    <x v="1"/>
    <x v="7"/>
    <x v="0"/>
  </r>
  <r>
    <s v="TX501238"/>
    <x v="4"/>
    <x v="3"/>
    <n v="44.5"/>
    <n v="311.5"/>
    <d v="2025-02-18T00:00:00"/>
    <d v="2025-02-22T00:00:00"/>
    <s v="F"/>
    <x v="2"/>
    <n v="5"/>
    <x v="0"/>
    <x v="19"/>
    <x v="5"/>
    <x v="7"/>
    <x v="2"/>
  </r>
  <r>
    <s v="TX501239"/>
    <x v="2"/>
    <x v="0"/>
    <n v="141"/>
    <n v="141"/>
    <d v="2025-02-18T00:00:00"/>
    <d v="2025-02-19T00:00:00"/>
    <s v="M"/>
    <x v="4"/>
    <n v="5"/>
    <x v="0"/>
    <x v="19"/>
    <x v="3"/>
    <x v="7"/>
    <x v="1"/>
  </r>
  <r>
    <s v="TX501240"/>
    <x v="0"/>
    <x v="2"/>
    <n v="16.7"/>
    <n v="50.099999999999994"/>
    <d v="2025-02-18T00:00:00"/>
    <d v="2025-02-26T00:00:00"/>
    <s v="F"/>
    <x v="0"/>
    <n v="4"/>
    <x v="0"/>
    <x v="20"/>
    <x v="9"/>
    <x v="7"/>
    <x v="2"/>
  </r>
  <r>
    <s v="TX501241"/>
    <x v="1"/>
    <x v="1"/>
    <n v="77.5"/>
    <n v="155"/>
    <d v="2025-02-18T00:00:00"/>
    <d v="2025-02-19T00:00:00"/>
    <s v=""/>
    <x v="2"/>
    <n v="5"/>
    <x v="0"/>
    <x v="13"/>
    <x v="3"/>
    <x v="7"/>
    <x v="0"/>
  </r>
  <r>
    <s v="TX501242"/>
    <x v="2"/>
    <x v="1"/>
    <n v="163"/>
    <n v="326"/>
    <d v="2025-02-18T00:00:00"/>
    <d v="2025-02-24T00:00:00"/>
    <s v="F"/>
    <x v="4"/>
    <n v="4"/>
    <x v="0"/>
    <x v="21"/>
    <x v="4"/>
    <x v="7"/>
    <x v="2"/>
  </r>
  <r>
    <s v="TX501243"/>
    <x v="4"/>
    <x v="11"/>
    <n v="21.4"/>
    <n v="192.6"/>
    <d v="2025-02-18T00:00:00"/>
    <d v="2025-02-21T00:00:00"/>
    <s v="F"/>
    <x v="0"/>
    <n v="4"/>
    <x v="0"/>
    <x v="51"/>
    <x v="2"/>
    <x v="7"/>
    <x v="2"/>
  </r>
  <r>
    <s v="TX501244"/>
    <x v="10"/>
    <x v="5"/>
    <n v="31"/>
    <n v="341"/>
    <d v="2025-02-18T00:00:00"/>
    <d v="2025-02-20T00:00:00"/>
    <s v="F"/>
    <x v="3"/>
    <n v="5"/>
    <x v="0"/>
    <x v="1"/>
    <x v="1"/>
    <x v="7"/>
    <x v="2"/>
  </r>
  <r>
    <s v="TX501245"/>
    <x v="7"/>
    <x v="1"/>
    <n v="34.299999999999997"/>
    <n v="68.599999999999994"/>
    <d v="2025-02-18T00:00:00"/>
    <d v="2025-02-20T00:00:00"/>
    <s v="F"/>
    <x v="0"/>
    <n v="1"/>
    <x v="0"/>
    <x v="1"/>
    <x v="1"/>
    <x v="7"/>
    <x v="2"/>
  </r>
  <r>
    <s v="TX501246"/>
    <x v="17"/>
    <x v="9"/>
    <n v="48.2"/>
    <n v="241"/>
    <d v="2025-02-18T00:00:00"/>
    <d v="2025-02-19T00:00:00"/>
    <s v="M"/>
    <x v="1"/>
    <n v="3"/>
    <x v="0"/>
    <x v="2"/>
    <x v="3"/>
    <x v="7"/>
    <x v="1"/>
  </r>
  <r>
    <s v="TX501247"/>
    <x v="10"/>
    <x v="0"/>
    <n v="51.4"/>
    <n v="51.4"/>
    <d v="2025-02-18T00:00:00"/>
    <d v="2025-02-19T00:00:00"/>
    <s v="M"/>
    <x v="0"/>
    <n v="4"/>
    <x v="0"/>
    <x v="3"/>
    <x v="3"/>
    <x v="7"/>
    <x v="1"/>
  </r>
  <r>
    <s v="TX501248"/>
    <x v="2"/>
    <x v="9"/>
    <n v="117.2"/>
    <n v="586"/>
    <d v="2025-02-18T00:00:00"/>
    <d v="2025-02-21T00:00:00"/>
    <s v="F"/>
    <x v="4"/>
    <n v="2"/>
    <x v="0"/>
    <x v="3"/>
    <x v="2"/>
    <x v="7"/>
    <x v="2"/>
  </r>
  <r>
    <s v="TX501249"/>
    <x v="8"/>
    <x v="0"/>
    <n v="38.1"/>
    <n v="38.1"/>
    <d v="2025-02-18T00:00:00"/>
    <d v="2025-02-18T00:00:00"/>
    <s v="M"/>
    <x v="4"/>
    <n v="3"/>
    <x v="0"/>
    <x v="3"/>
    <x v="7"/>
    <x v="7"/>
    <x v="1"/>
  </r>
  <r>
    <s v="TX501250"/>
    <x v="0"/>
    <x v="1"/>
    <n v="44.1"/>
    <n v="88.2"/>
    <d v="2025-02-18T00:00:00"/>
    <d v="2025-02-20T00:00:00"/>
    <s v="F"/>
    <x v="2"/>
    <n v="4"/>
    <x v="0"/>
    <x v="3"/>
    <x v="1"/>
    <x v="7"/>
    <x v="2"/>
  </r>
  <r>
    <s v="TX501251"/>
    <x v="15"/>
    <x v="12"/>
    <n v="80.5"/>
    <n v="322"/>
    <d v="2025-02-18T00:00:00"/>
    <d v="2025-02-23T00:00:00"/>
    <s v="M"/>
    <x v="0"/>
    <n v="4"/>
    <x v="0"/>
    <x v="3"/>
    <x v="0"/>
    <x v="7"/>
    <x v="1"/>
  </r>
  <r>
    <s v="TX501252"/>
    <x v="18"/>
    <x v="12"/>
    <n v="33.6"/>
    <n v="134.4"/>
    <d v="2025-02-18T00:00:00"/>
    <d v="2025-02-23T00:00:00"/>
    <s v=""/>
    <x v="0"/>
    <n v="5"/>
    <x v="0"/>
    <x v="3"/>
    <x v="0"/>
    <x v="7"/>
    <x v="0"/>
  </r>
  <r>
    <s v="TX501253"/>
    <x v="9"/>
    <x v="11"/>
    <n v="41.8"/>
    <n v="376.2"/>
    <d v="2025-02-18T00:00:00"/>
    <d v="2025-02-19T00:00:00"/>
    <s v="F"/>
    <x v="0"/>
    <n v="3"/>
    <x v="0"/>
    <x v="3"/>
    <x v="3"/>
    <x v="7"/>
    <x v="2"/>
  </r>
  <r>
    <s v="TX501254"/>
    <x v="1"/>
    <x v="1"/>
    <n v="106.2"/>
    <n v="212.4"/>
    <d v="2025-02-18T00:00:00"/>
    <d v="2025-02-18T00:00:00"/>
    <s v="F"/>
    <x v="4"/>
    <n v="5"/>
    <x v="0"/>
    <x v="3"/>
    <x v="7"/>
    <x v="7"/>
    <x v="2"/>
  </r>
  <r>
    <s v="TX501255"/>
    <x v="1"/>
    <x v="1"/>
    <n v="52.6"/>
    <n v="105.2"/>
    <d v="2025-02-18T00:00:00"/>
    <d v="2025-02-19T00:00:00"/>
    <s v="F"/>
    <x v="0"/>
    <n v="5"/>
    <x v="0"/>
    <x v="5"/>
    <x v="3"/>
    <x v="7"/>
    <x v="2"/>
  </r>
  <r>
    <s v="TX501256"/>
    <x v="11"/>
    <x v="3"/>
    <n v="68.5"/>
    <n v="479.5"/>
    <d v="2025-02-18T00:00:00"/>
    <d v="2025-02-19T00:00:00"/>
    <s v="F"/>
    <x v="1"/>
    <n v="4"/>
    <x v="0"/>
    <x v="5"/>
    <x v="3"/>
    <x v="7"/>
    <x v="2"/>
  </r>
  <r>
    <s v="TX501257"/>
    <x v="1"/>
    <x v="1"/>
    <n v="55.6"/>
    <n v="111.2"/>
    <d v="2025-02-18T00:00:00"/>
    <d v="2025-02-20T00:00:00"/>
    <s v="M"/>
    <x v="1"/>
    <n v="5"/>
    <x v="0"/>
    <x v="6"/>
    <x v="1"/>
    <x v="7"/>
    <x v="1"/>
  </r>
  <r>
    <s v="TX501258"/>
    <x v="2"/>
    <x v="2"/>
    <n v="134.9"/>
    <n v="404.70000000000005"/>
    <d v="2025-02-18T00:00:00"/>
    <d v="2025-02-19T00:00:00"/>
    <s v="M"/>
    <x v="1"/>
    <n v="3"/>
    <x v="0"/>
    <x v="6"/>
    <x v="3"/>
    <x v="7"/>
    <x v="1"/>
  </r>
  <r>
    <s v="TX501259"/>
    <x v="10"/>
    <x v="9"/>
    <n v="42.6"/>
    <n v="213"/>
    <d v="2025-02-18T00:00:00"/>
    <d v="2025-02-19T00:00:00"/>
    <s v="M"/>
    <x v="0"/>
    <n v="4"/>
    <x v="0"/>
    <x v="6"/>
    <x v="3"/>
    <x v="7"/>
    <x v="1"/>
  </r>
  <r>
    <s v="TX501260"/>
    <x v="7"/>
    <x v="9"/>
    <n v="60.6"/>
    <n v="303"/>
    <d v="2025-02-18T00:00:00"/>
    <d v="2025-02-20T00:00:00"/>
    <s v="M"/>
    <x v="4"/>
    <n v="4"/>
    <x v="0"/>
    <x v="6"/>
    <x v="1"/>
    <x v="7"/>
    <x v="1"/>
  </r>
  <r>
    <s v="TX501261"/>
    <x v="8"/>
    <x v="1"/>
    <n v="43.5"/>
    <n v="87"/>
    <d v="2025-02-18T00:00:00"/>
    <d v="2025-02-19T00:00:00"/>
    <s v="M"/>
    <x v="4"/>
    <n v="4"/>
    <x v="0"/>
    <x v="7"/>
    <x v="3"/>
    <x v="7"/>
    <x v="1"/>
  </r>
  <r>
    <s v="TX501262"/>
    <x v="2"/>
    <x v="1"/>
    <n v="187.1"/>
    <n v="374.2"/>
    <d v="2025-02-18T00:00:00"/>
    <d v="2025-02-19T00:00:00"/>
    <s v="M"/>
    <x v="1"/>
    <n v="5"/>
    <x v="0"/>
    <x v="8"/>
    <x v="3"/>
    <x v="7"/>
    <x v="1"/>
  </r>
  <r>
    <s v="TX501263"/>
    <x v="9"/>
    <x v="2"/>
    <n v="32"/>
    <n v="96"/>
    <d v="2025-02-18T00:00:00"/>
    <d v="2025-02-20T00:00:00"/>
    <s v="M"/>
    <x v="0"/>
    <n v="4"/>
    <x v="0"/>
    <x v="8"/>
    <x v="1"/>
    <x v="7"/>
    <x v="1"/>
  </r>
  <r>
    <s v="TX501264"/>
    <x v="9"/>
    <x v="1"/>
    <n v="110.8"/>
    <n v="221.6"/>
    <d v="2025-02-18T00:00:00"/>
    <d v="2025-02-18T00:00:00"/>
    <s v="M"/>
    <x v="0"/>
    <n v="5"/>
    <x v="0"/>
    <x v="8"/>
    <x v="7"/>
    <x v="7"/>
    <x v="1"/>
  </r>
  <r>
    <s v="TX501265"/>
    <x v="10"/>
    <x v="15"/>
    <n v="36.1"/>
    <n v="469.3"/>
    <d v="2025-02-18T00:00:00"/>
    <d v="2025-02-21T00:00:00"/>
    <s v="F"/>
    <x v="0"/>
    <n v="3"/>
    <x v="0"/>
    <x v="8"/>
    <x v="2"/>
    <x v="7"/>
    <x v="2"/>
  </r>
  <r>
    <s v="TX501266"/>
    <x v="0"/>
    <x v="0"/>
    <n v="24.1"/>
    <n v="24.1"/>
    <d v="2025-02-18T00:00:00"/>
    <d v="2025-02-20T00:00:00"/>
    <s v="F"/>
    <x v="4"/>
    <n v="5"/>
    <x v="0"/>
    <x v="8"/>
    <x v="1"/>
    <x v="7"/>
    <x v="2"/>
  </r>
  <r>
    <s v="TX501267"/>
    <x v="19"/>
    <x v="2"/>
    <n v="30.5"/>
    <n v="91.5"/>
    <d v="2025-02-18T00:00:00"/>
    <d v="2025-02-20T00:00:00"/>
    <s v="M"/>
    <x v="1"/>
    <n v="4"/>
    <x v="0"/>
    <x v="8"/>
    <x v="1"/>
    <x v="7"/>
    <x v="1"/>
  </r>
  <r>
    <s v="TX501268"/>
    <x v="18"/>
    <x v="13"/>
    <n v="68.3"/>
    <n v="409.79999999999995"/>
    <d v="2025-02-18T00:00:00"/>
    <d v="2025-02-21T00:00:00"/>
    <s v="M"/>
    <x v="0"/>
    <n v="4"/>
    <x v="0"/>
    <x v="8"/>
    <x v="2"/>
    <x v="7"/>
    <x v="1"/>
  </r>
  <r>
    <s v="TX501269"/>
    <x v="7"/>
    <x v="2"/>
    <n v="43.3"/>
    <n v="129.89999999999998"/>
    <d v="2025-02-18T00:00:00"/>
    <d v="2025-02-22T00:00:00"/>
    <s v="F"/>
    <x v="0"/>
    <n v="4"/>
    <x v="0"/>
    <x v="17"/>
    <x v="5"/>
    <x v="7"/>
    <x v="2"/>
  </r>
  <r>
    <s v="TX501270"/>
    <x v="3"/>
    <x v="0"/>
    <n v="101.7"/>
    <n v="101.7"/>
    <d v="2025-02-18T00:00:00"/>
    <d v="2025-02-21T00:00:00"/>
    <s v="F"/>
    <x v="0"/>
    <n v="3"/>
    <x v="0"/>
    <x v="17"/>
    <x v="2"/>
    <x v="7"/>
    <x v="2"/>
  </r>
  <r>
    <s v="TX501271"/>
    <x v="11"/>
    <x v="1"/>
    <n v="54.2"/>
    <n v="108.4"/>
    <d v="2025-02-18T00:00:00"/>
    <d v="2025-02-19T00:00:00"/>
    <s v="F"/>
    <x v="0"/>
    <n v="3"/>
    <x v="0"/>
    <x v="17"/>
    <x v="3"/>
    <x v="7"/>
    <x v="2"/>
  </r>
  <r>
    <s v="TX501272"/>
    <x v="16"/>
    <x v="1"/>
    <n v="51"/>
    <n v="102"/>
    <d v="2025-02-18T00:00:00"/>
    <d v="2025-02-18T00:00:00"/>
    <s v="M"/>
    <x v="1"/>
    <n v="4"/>
    <x v="0"/>
    <x v="26"/>
    <x v="7"/>
    <x v="7"/>
    <x v="1"/>
  </r>
  <r>
    <s v="TX501273"/>
    <x v="4"/>
    <x v="1"/>
    <n v="23.1"/>
    <n v="46.2"/>
    <d v="2025-02-18T00:00:00"/>
    <d v="2025-02-21T00:00:00"/>
    <s v="M"/>
    <x v="1"/>
    <n v="4"/>
    <x v="0"/>
    <x v="10"/>
    <x v="2"/>
    <x v="7"/>
    <x v="1"/>
  </r>
  <r>
    <s v="TX501274"/>
    <x v="12"/>
    <x v="13"/>
    <n v="60.1"/>
    <n v="360.6"/>
    <d v="2025-02-18T00:00:00"/>
    <d v="2025-02-18T00:00:00"/>
    <s v="F"/>
    <x v="3"/>
    <n v="4"/>
    <x v="0"/>
    <x v="11"/>
    <x v="7"/>
    <x v="7"/>
    <x v="2"/>
  </r>
  <r>
    <s v="TX501275"/>
    <x v="2"/>
    <x v="3"/>
    <n v="87.5"/>
    <n v="612.5"/>
    <d v="2025-02-18T00:00:00"/>
    <d v="2025-02-20T00:00:00"/>
    <s v="F"/>
    <x v="0"/>
    <n v="3"/>
    <x v="0"/>
    <x v="11"/>
    <x v="1"/>
    <x v="7"/>
    <x v="2"/>
  </r>
  <r>
    <s v="TX501276"/>
    <x v="1"/>
    <x v="2"/>
    <n v="51"/>
    <n v="153"/>
    <d v="2025-02-18T00:00:00"/>
    <d v="2025-02-19T00:00:00"/>
    <s v="F"/>
    <x v="1"/>
    <n v="4"/>
    <x v="0"/>
    <x v="11"/>
    <x v="3"/>
    <x v="7"/>
    <x v="2"/>
  </r>
  <r>
    <s v="TX501277"/>
    <x v="8"/>
    <x v="12"/>
    <n v="19.2"/>
    <n v="76.8"/>
    <d v="2025-02-18T00:00:00"/>
    <d v="2025-02-20T00:00:00"/>
    <s v="F"/>
    <x v="0"/>
    <n v="4"/>
    <x v="0"/>
    <x v="11"/>
    <x v="1"/>
    <x v="7"/>
    <x v="2"/>
  </r>
  <r>
    <s v="TX501278"/>
    <x v="5"/>
    <x v="8"/>
    <n v="26.5"/>
    <n v="212"/>
    <d v="2025-02-18T00:00:00"/>
    <d v="2025-02-19T00:00:00"/>
    <s v=""/>
    <x v="3"/>
    <n v="5"/>
    <x v="0"/>
    <x v="11"/>
    <x v="3"/>
    <x v="7"/>
    <x v="0"/>
  </r>
  <r>
    <s v="TX501279"/>
    <x v="2"/>
    <x v="1"/>
    <n v="220.3"/>
    <n v="440.6"/>
    <d v="2025-02-18T00:00:00"/>
    <d v="2025-02-19T00:00:00"/>
    <s v="F"/>
    <x v="1"/>
    <n v="2"/>
    <x v="0"/>
    <x v="53"/>
    <x v="3"/>
    <x v="7"/>
    <x v="2"/>
  </r>
  <r>
    <s v="TX501280"/>
    <x v="8"/>
    <x v="2"/>
    <n v="45.7"/>
    <n v="137.10000000000002"/>
    <d v="2025-02-18T00:00:00"/>
    <d v="2025-02-19T00:00:00"/>
    <s v="F"/>
    <x v="4"/>
    <n v="4"/>
    <x v="0"/>
    <x v="30"/>
    <x v="3"/>
    <x v="7"/>
    <x v="2"/>
  </r>
  <r>
    <s v="TX501281"/>
    <x v="5"/>
    <x v="9"/>
    <n v="47.1"/>
    <n v="235.5"/>
    <d v="2025-02-18T00:00:00"/>
    <d v="2025-02-22T00:00:00"/>
    <s v="F"/>
    <x v="3"/>
    <n v="4"/>
    <x v="0"/>
    <x v="13"/>
    <x v="5"/>
    <x v="7"/>
    <x v="2"/>
  </r>
  <r>
    <s v="TX501282"/>
    <x v="1"/>
    <x v="9"/>
    <n v="81.7"/>
    <n v="408.5"/>
    <d v="2025-02-18T00:00:00"/>
    <d v="2025-02-19T00:00:00"/>
    <s v="F"/>
    <x v="0"/>
    <n v="5"/>
    <x v="0"/>
    <x v="21"/>
    <x v="3"/>
    <x v="7"/>
    <x v="2"/>
  </r>
  <r>
    <s v="TX501283"/>
    <x v="6"/>
    <x v="7"/>
    <n v="97.8"/>
    <n v="978"/>
    <d v="2025-02-18T00:00:00"/>
    <d v="2025-02-18T00:00:00"/>
    <s v="M"/>
    <x v="1"/>
    <n v="3"/>
    <x v="0"/>
    <x v="21"/>
    <x v="7"/>
    <x v="7"/>
    <x v="1"/>
  </r>
  <r>
    <s v="TX501284"/>
    <x v="6"/>
    <x v="2"/>
    <n v="42.4"/>
    <n v="127.19999999999999"/>
    <d v="2025-02-18T00:00:00"/>
    <d v="2025-02-19T00:00:00"/>
    <s v="F"/>
    <x v="0"/>
    <n v="5"/>
    <x v="0"/>
    <x v="54"/>
    <x v="3"/>
    <x v="7"/>
    <x v="2"/>
  </r>
  <r>
    <s v="TX501285"/>
    <x v="2"/>
    <x v="7"/>
    <n v="74.5"/>
    <n v="745"/>
    <d v="2025-02-18T00:00:00"/>
    <d v="2025-02-19T00:00:00"/>
    <s v="M"/>
    <x v="2"/>
    <n v="3"/>
    <x v="0"/>
    <x v="1"/>
    <x v="3"/>
    <x v="7"/>
    <x v="1"/>
  </r>
  <r>
    <s v="TX501286"/>
    <x v="17"/>
    <x v="13"/>
    <n v="47.4"/>
    <n v="284.39999999999998"/>
    <d v="2025-02-18T00:00:00"/>
    <d v="2025-02-19T00:00:00"/>
    <s v="M"/>
    <x v="1"/>
    <n v="4"/>
    <x v="0"/>
    <x v="1"/>
    <x v="3"/>
    <x v="7"/>
    <x v="1"/>
  </r>
  <r>
    <s v="TX501287"/>
    <x v="14"/>
    <x v="2"/>
    <n v="17.3"/>
    <n v="51.900000000000006"/>
    <d v="2025-02-19T00:00:00"/>
    <d v="2025-02-22T00:00:00"/>
    <s v="M"/>
    <x v="2"/>
    <n v="5"/>
    <x v="0"/>
    <x v="1"/>
    <x v="2"/>
    <x v="7"/>
    <x v="1"/>
  </r>
  <r>
    <s v="TX501288"/>
    <x v="12"/>
    <x v="12"/>
    <n v="77.900000000000006"/>
    <n v="311.60000000000002"/>
    <d v="2025-02-19T00:00:00"/>
    <d v="2025-02-20T00:00:00"/>
    <s v="M"/>
    <x v="1"/>
    <n v="4"/>
    <x v="0"/>
    <x v="2"/>
    <x v="3"/>
    <x v="7"/>
    <x v="1"/>
  </r>
  <r>
    <s v="TX501289"/>
    <x v="8"/>
    <x v="0"/>
    <n v="29.1"/>
    <n v="29.1"/>
    <d v="2025-02-19T00:00:00"/>
    <d v="2025-02-22T00:00:00"/>
    <s v="M"/>
    <x v="0"/>
    <n v="5"/>
    <x v="0"/>
    <x v="50"/>
    <x v="2"/>
    <x v="7"/>
    <x v="1"/>
  </r>
  <r>
    <s v="TX501290"/>
    <x v="8"/>
    <x v="0"/>
    <n v="49"/>
    <n v="49"/>
    <d v="2025-02-19T00:00:00"/>
    <d v="2025-02-20T00:00:00"/>
    <s v="M"/>
    <x v="1"/>
    <n v="4"/>
    <x v="0"/>
    <x v="3"/>
    <x v="3"/>
    <x v="7"/>
    <x v="1"/>
  </r>
  <r>
    <s v="TX501291"/>
    <x v="8"/>
    <x v="13"/>
    <n v="21.1"/>
    <n v="126.60000000000001"/>
    <d v="2025-02-19T00:00:00"/>
    <d v="2025-02-26T00:00:00"/>
    <s v="M"/>
    <x v="0"/>
    <n v="5"/>
    <x v="0"/>
    <x v="3"/>
    <x v="6"/>
    <x v="7"/>
    <x v="1"/>
  </r>
  <r>
    <s v="TX501292"/>
    <x v="4"/>
    <x v="10"/>
    <n v="36.9"/>
    <n v="701.1"/>
    <d v="2025-02-19T00:00:00"/>
    <d v="2025-02-19T00:00:00"/>
    <s v="F"/>
    <x v="0"/>
    <n v="4"/>
    <x v="0"/>
    <x v="3"/>
    <x v="7"/>
    <x v="7"/>
    <x v="2"/>
  </r>
  <r>
    <s v="TX501293"/>
    <x v="1"/>
    <x v="7"/>
    <n v="92.6"/>
    <n v="926"/>
    <d v="2025-02-19T00:00:00"/>
    <d v="2025-02-24T00:00:00"/>
    <s v="M"/>
    <x v="4"/>
    <n v="5"/>
    <x v="0"/>
    <x v="3"/>
    <x v="0"/>
    <x v="7"/>
    <x v="1"/>
  </r>
  <r>
    <s v="TX501294"/>
    <x v="10"/>
    <x v="1"/>
    <n v="38"/>
    <n v="76"/>
    <d v="2025-02-19T00:00:00"/>
    <d v="2025-02-20T00:00:00"/>
    <s v="M"/>
    <x v="1"/>
    <n v="3"/>
    <x v="0"/>
    <x v="3"/>
    <x v="3"/>
    <x v="7"/>
    <x v="1"/>
  </r>
  <r>
    <s v="TX501295"/>
    <x v="5"/>
    <x v="2"/>
    <n v="54.8"/>
    <n v="164.39999999999998"/>
    <d v="2025-02-19T00:00:00"/>
    <d v="2025-02-23T00:00:00"/>
    <s v=""/>
    <x v="0"/>
    <n v="3"/>
    <x v="0"/>
    <x v="3"/>
    <x v="5"/>
    <x v="7"/>
    <x v="0"/>
  </r>
  <r>
    <s v="TX501296"/>
    <x v="10"/>
    <x v="4"/>
    <n v="56.8"/>
    <n v="681.59999999999991"/>
    <d v="2025-02-19T00:00:00"/>
    <d v="2025-02-21T00:00:00"/>
    <s v="M"/>
    <x v="1"/>
    <n v="4"/>
    <x v="0"/>
    <x v="3"/>
    <x v="1"/>
    <x v="7"/>
    <x v="1"/>
  </r>
  <r>
    <s v="TX501297"/>
    <x v="11"/>
    <x v="40"/>
    <n v="47.2"/>
    <n v="1557.6000000000001"/>
    <d v="2025-02-19T00:00:00"/>
    <d v="2025-02-22T00:00:00"/>
    <s v="F"/>
    <x v="1"/>
    <n v="4"/>
    <x v="0"/>
    <x v="3"/>
    <x v="2"/>
    <x v="7"/>
    <x v="2"/>
  </r>
  <r>
    <s v="TX501298"/>
    <x v="7"/>
    <x v="13"/>
    <n v="45.1"/>
    <n v="270.60000000000002"/>
    <d v="2025-02-19T00:00:00"/>
    <d v="2025-02-20T00:00:00"/>
    <s v="F"/>
    <x v="2"/>
    <n v="4"/>
    <x v="0"/>
    <x v="43"/>
    <x v="3"/>
    <x v="7"/>
    <x v="2"/>
  </r>
  <r>
    <s v="TX501299"/>
    <x v="4"/>
    <x v="4"/>
    <n v="25.2"/>
    <n v="302.39999999999998"/>
    <d v="2025-02-19T00:00:00"/>
    <d v="2025-02-24T00:00:00"/>
    <s v="F"/>
    <x v="2"/>
    <n v="4"/>
    <x v="0"/>
    <x v="16"/>
    <x v="0"/>
    <x v="7"/>
    <x v="2"/>
  </r>
  <r>
    <s v="TX501300"/>
    <x v="8"/>
    <x v="0"/>
    <n v="22"/>
    <n v="22"/>
    <d v="2025-02-19T00:00:00"/>
    <d v="2025-02-20T00:00:00"/>
    <s v="F"/>
    <x v="0"/>
    <n v="4"/>
    <x v="0"/>
    <x v="5"/>
    <x v="3"/>
    <x v="7"/>
    <x v="2"/>
  </r>
  <r>
    <s v="TX501301"/>
    <x v="6"/>
    <x v="1"/>
    <n v="42.2"/>
    <n v="84.4"/>
    <d v="2025-02-19T00:00:00"/>
    <d v="2025-02-20T00:00:00"/>
    <s v="F"/>
    <x v="1"/>
    <n v="3"/>
    <x v="0"/>
    <x v="23"/>
    <x v="3"/>
    <x v="7"/>
    <x v="2"/>
  </r>
  <r>
    <s v="TX501302"/>
    <x v="13"/>
    <x v="2"/>
    <n v="20.5"/>
    <n v="61.5"/>
    <d v="2025-02-19T00:00:00"/>
    <d v="2025-02-20T00:00:00"/>
    <s v="M"/>
    <x v="0"/>
    <n v="3"/>
    <x v="0"/>
    <x v="6"/>
    <x v="3"/>
    <x v="7"/>
    <x v="1"/>
  </r>
  <r>
    <s v="TX501303"/>
    <x v="2"/>
    <x v="0"/>
    <n v="190.4"/>
    <n v="190.4"/>
    <d v="2025-02-19T00:00:00"/>
    <d v="2025-02-24T00:00:00"/>
    <s v="M"/>
    <x v="1"/>
    <n v="2"/>
    <x v="0"/>
    <x v="6"/>
    <x v="0"/>
    <x v="7"/>
    <x v="1"/>
  </r>
  <r>
    <s v="TX501304"/>
    <x v="2"/>
    <x v="0"/>
    <n v="121.9"/>
    <n v="121.9"/>
    <d v="2025-02-19T00:00:00"/>
    <d v="2025-02-21T00:00:00"/>
    <s v="F"/>
    <x v="1"/>
    <n v="5"/>
    <x v="0"/>
    <x v="6"/>
    <x v="1"/>
    <x v="7"/>
    <x v="2"/>
  </r>
  <r>
    <s v="TX501305"/>
    <x v="2"/>
    <x v="13"/>
    <n v="149.19999999999999"/>
    <n v="895.19999999999993"/>
    <d v="2025-02-19T00:00:00"/>
    <d v="2025-02-20T00:00:00"/>
    <s v="F"/>
    <x v="2"/>
    <n v="5"/>
    <x v="0"/>
    <x v="7"/>
    <x v="3"/>
    <x v="7"/>
    <x v="2"/>
  </r>
  <r>
    <s v="TX501306"/>
    <x v="2"/>
    <x v="0"/>
    <n v="54.1"/>
    <n v="54.1"/>
    <d v="2025-02-19T00:00:00"/>
    <d v="2025-02-28T00:00:00"/>
    <s v="F"/>
    <x v="2"/>
    <n v="5"/>
    <x v="0"/>
    <x v="7"/>
    <x v="8"/>
    <x v="7"/>
    <x v="2"/>
  </r>
  <r>
    <s v="TX501307"/>
    <x v="5"/>
    <x v="1"/>
    <n v="27.4"/>
    <n v="54.8"/>
    <d v="2025-02-19T00:00:00"/>
    <d v="2025-02-21T00:00:00"/>
    <s v="M"/>
    <x v="1"/>
    <n v="4"/>
    <x v="0"/>
    <x v="8"/>
    <x v="1"/>
    <x v="7"/>
    <x v="1"/>
  </r>
  <r>
    <s v="TX501308"/>
    <x v="0"/>
    <x v="15"/>
    <n v="30.4"/>
    <n v="395.2"/>
    <d v="2025-02-19T00:00:00"/>
    <d v="2025-02-20T00:00:00"/>
    <s v="F"/>
    <x v="0"/>
    <n v="5"/>
    <x v="0"/>
    <x v="8"/>
    <x v="3"/>
    <x v="7"/>
    <x v="2"/>
  </r>
  <r>
    <s v="TX501309"/>
    <x v="12"/>
    <x v="2"/>
    <n v="46.2"/>
    <n v="138.60000000000002"/>
    <d v="2025-02-19T00:00:00"/>
    <d v="2025-02-21T00:00:00"/>
    <s v="M"/>
    <x v="2"/>
    <n v="3"/>
    <x v="0"/>
    <x v="17"/>
    <x v="1"/>
    <x v="7"/>
    <x v="1"/>
  </r>
  <r>
    <s v="TX501310"/>
    <x v="7"/>
    <x v="8"/>
    <n v="78.599999999999994"/>
    <n v="628.79999999999995"/>
    <d v="2025-02-19T00:00:00"/>
    <d v="2025-02-23T00:00:00"/>
    <s v="M"/>
    <x v="3"/>
    <n v="4"/>
    <x v="0"/>
    <x v="17"/>
    <x v="5"/>
    <x v="7"/>
    <x v="1"/>
  </r>
  <r>
    <s v="TX501311"/>
    <x v="17"/>
    <x v="7"/>
    <n v="25.9"/>
    <n v="259"/>
    <d v="2025-02-19T00:00:00"/>
    <d v="2025-02-25T00:00:00"/>
    <s v="M"/>
    <x v="4"/>
    <n v="4"/>
    <x v="0"/>
    <x v="9"/>
    <x v="4"/>
    <x v="7"/>
    <x v="1"/>
  </r>
  <r>
    <s v="TX501312"/>
    <x v="6"/>
    <x v="0"/>
    <n v="134.80000000000001"/>
    <n v="134.80000000000001"/>
    <d v="2025-02-19T00:00:00"/>
    <d v="2025-02-21T00:00:00"/>
    <s v="M"/>
    <x v="2"/>
    <n v="5"/>
    <x v="0"/>
    <x v="9"/>
    <x v="1"/>
    <x v="7"/>
    <x v="1"/>
  </r>
  <r>
    <s v="TX501313"/>
    <x v="15"/>
    <x v="9"/>
    <n v="43.1"/>
    <n v="215.5"/>
    <d v="2025-02-19T00:00:00"/>
    <d v="2025-02-21T00:00:00"/>
    <s v="F"/>
    <x v="0"/>
    <n v="4"/>
    <x v="0"/>
    <x v="11"/>
    <x v="1"/>
    <x v="7"/>
    <x v="2"/>
  </r>
  <r>
    <s v="TX501314"/>
    <x v="2"/>
    <x v="1"/>
    <n v="215.6"/>
    <n v="431.2"/>
    <d v="2025-02-19T00:00:00"/>
    <d v="2025-02-20T00:00:00"/>
    <s v="F"/>
    <x v="2"/>
    <n v="4"/>
    <x v="0"/>
    <x v="18"/>
    <x v="3"/>
    <x v="7"/>
    <x v="2"/>
  </r>
  <r>
    <s v="TX501315"/>
    <x v="6"/>
    <x v="1"/>
    <n v="80.7"/>
    <n v="161.4"/>
    <d v="2025-02-19T00:00:00"/>
    <d v="2025-02-22T00:00:00"/>
    <s v="F"/>
    <x v="3"/>
    <n v="4"/>
    <x v="0"/>
    <x v="18"/>
    <x v="2"/>
    <x v="7"/>
    <x v="2"/>
  </r>
  <r>
    <s v="TX501316"/>
    <x v="10"/>
    <x v="3"/>
    <n v="20.6"/>
    <n v="144.20000000000002"/>
    <d v="2025-02-19T00:00:00"/>
    <d v="2025-02-24T00:00:00"/>
    <s v=""/>
    <x v="2"/>
    <n v="3"/>
    <x v="0"/>
    <x v="19"/>
    <x v="0"/>
    <x v="7"/>
    <x v="0"/>
  </r>
  <r>
    <s v="TX501317"/>
    <x v="12"/>
    <x v="2"/>
    <n v="37.1"/>
    <n v="111.30000000000001"/>
    <d v="2025-02-19T00:00:00"/>
    <d v="2025-02-20T00:00:00"/>
    <s v="F"/>
    <x v="0"/>
    <n v="4"/>
    <x v="0"/>
    <x v="52"/>
    <x v="3"/>
    <x v="7"/>
    <x v="2"/>
  </r>
  <r>
    <s v="TX501318"/>
    <x v="12"/>
    <x v="0"/>
    <n v="104.8"/>
    <n v="104.8"/>
    <d v="2025-02-20T00:00:00"/>
    <d v="2025-02-22T00:00:00"/>
    <s v="F"/>
    <x v="0"/>
    <n v="4"/>
    <x v="0"/>
    <x v="13"/>
    <x v="1"/>
    <x v="7"/>
    <x v="2"/>
  </r>
  <r>
    <s v="TX501319"/>
    <x v="8"/>
    <x v="1"/>
    <n v="59"/>
    <n v="118"/>
    <d v="2025-02-20T00:00:00"/>
    <d v="2025-02-21T00:00:00"/>
    <s v="M"/>
    <x v="1"/>
    <n v="4"/>
    <x v="0"/>
    <x v="21"/>
    <x v="3"/>
    <x v="7"/>
    <x v="1"/>
  </r>
  <r>
    <s v="TX501320"/>
    <x v="8"/>
    <x v="1"/>
    <n v="32.299999999999997"/>
    <n v="64.599999999999994"/>
    <d v="2025-02-20T00:00:00"/>
    <d v="2025-02-21T00:00:00"/>
    <s v="M"/>
    <x v="0"/>
    <n v="5"/>
    <x v="0"/>
    <x v="21"/>
    <x v="3"/>
    <x v="7"/>
    <x v="1"/>
  </r>
  <r>
    <s v="TX501321"/>
    <x v="8"/>
    <x v="12"/>
    <n v="28.9"/>
    <n v="115.6"/>
    <d v="2025-02-20T00:00:00"/>
    <d v="2025-02-27T00:00:00"/>
    <s v="M"/>
    <x v="0"/>
    <n v="4"/>
    <x v="0"/>
    <x v="1"/>
    <x v="6"/>
    <x v="7"/>
    <x v="1"/>
  </r>
  <r>
    <s v="TX501322"/>
    <x v="0"/>
    <x v="1"/>
    <n v="29.6"/>
    <n v="59.2"/>
    <d v="2025-02-20T00:00:00"/>
    <d v="2025-02-22T00:00:00"/>
    <s v="M"/>
    <x v="0"/>
    <n v="4"/>
    <x v="0"/>
    <x v="1"/>
    <x v="1"/>
    <x v="7"/>
    <x v="1"/>
  </r>
  <r>
    <s v="TX501323"/>
    <x v="0"/>
    <x v="9"/>
    <n v="29.4"/>
    <n v="147"/>
    <d v="2025-02-20T00:00:00"/>
    <d v="2025-02-23T00:00:00"/>
    <s v="F"/>
    <x v="0"/>
    <n v="4"/>
    <x v="0"/>
    <x v="1"/>
    <x v="2"/>
    <x v="7"/>
    <x v="2"/>
  </r>
  <r>
    <s v="TX501324"/>
    <x v="1"/>
    <x v="1"/>
    <n v="40.6"/>
    <n v="81.2"/>
    <d v="2025-02-20T00:00:00"/>
    <d v="2025-02-21T00:00:00"/>
    <s v="M"/>
    <x v="0"/>
    <n v="2"/>
    <x v="0"/>
    <x v="2"/>
    <x v="3"/>
    <x v="7"/>
    <x v="1"/>
  </r>
  <r>
    <s v="TX501325"/>
    <x v="0"/>
    <x v="2"/>
    <n v="32.5"/>
    <n v="97.5"/>
    <d v="2025-02-20T00:00:00"/>
    <d v="2025-02-21T00:00:00"/>
    <s v="M"/>
    <x v="3"/>
    <n v="5"/>
    <x v="0"/>
    <x v="22"/>
    <x v="3"/>
    <x v="7"/>
    <x v="1"/>
  </r>
  <r>
    <s v="TX501326"/>
    <x v="15"/>
    <x v="0"/>
    <n v="26.2"/>
    <n v="26.2"/>
    <d v="2025-02-20T00:00:00"/>
    <d v="2025-02-22T00:00:00"/>
    <s v="M"/>
    <x v="2"/>
    <n v="4"/>
    <x v="0"/>
    <x v="55"/>
    <x v="1"/>
    <x v="7"/>
    <x v="1"/>
  </r>
  <r>
    <s v="TX501327"/>
    <x v="10"/>
    <x v="17"/>
    <n v="44"/>
    <n v="1320"/>
    <d v="2025-02-20T00:00:00"/>
    <d v="2025-02-26T00:00:00"/>
    <s v="M"/>
    <x v="4"/>
    <n v="4"/>
    <x v="0"/>
    <x v="3"/>
    <x v="4"/>
    <x v="7"/>
    <x v="1"/>
  </r>
  <r>
    <s v="TX501328"/>
    <x v="7"/>
    <x v="12"/>
    <n v="65.599999999999994"/>
    <n v="262.39999999999998"/>
    <d v="2025-02-20T00:00:00"/>
    <d v="2025-02-21T00:00:00"/>
    <s v="F"/>
    <x v="1"/>
    <n v="3"/>
    <x v="0"/>
    <x v="3"/>
    <x v="3"/>
    <x v="7"/>
    <x v="2"/>
  </r>
  <r>
    <s v="TX501329"/>
    <x v="5"/>
    <x v="4"/>
    <n v="32.6"/>
    <n v="391.20000000000005"/>
    <d v="2025-02-20T00:00:00"/>
    <d v="2025-02-21T00:00:00"/>
    <s v="M"/>
    <x v="4"/>
    <n v="4"/>
    <x v="0"/>
    <x v="3"/>
    <x v="3"/>
    <x v="7"/>
    <x v="1"/>
  </r>
  <r>
    <s v="TX501330"/>
    <x v="16"/>
    <x v="1"/>
    <n v="88.7"/>
    <n v="177.4"/>
    <d v="2025-02-20T00:00:00"/>
    <d v="2025-02-21T00:00:00"/>
    <s v=""/>
    <x v="3"/>
    <n v="5"/>
    <x v="0"/>
    <x v="3"/>
    <x v="3"/>
    <x v="7"/>
    <x v="0"/>
  </r>
  <r>
    <s v="TX501331"/>
    <x v="4"/>
    <x v="1"/>
    <n v="21.3"/>
    <n v="42.6"/>
    <d v="2025-02-20T00:00:00"/>
    <d v="2025-02-21T00:00:00"/>
    <s v="M"/>
    <x v="0"/>
    <n v="4"/>
    <x v="0"/>
    <x v="3"/>
    <x v="3"/>
    <x v="7"/>
    <x v="1"/>
  </r>
  <r>
    <s v="TX501332"/>
    <x v="4"/>
    <x v="13"/>
    <n v="50.6"/>
    <n v="303.60000000000002"/>
    <d v="2025-02-20T00:00:00"/>
    <d v="2025-02-24T00:00:00"/>
    <s v="F"/>
    <x v="2"/>
    <n v="4"/>
    <x v="0"/>
    <x v="3"/>
    <x v="5"/>
    <x v="7"/>
    <x v="2"/>
  </r>
  <r>
    <s v="TX501333"/>
    <x v="9"/>
    <x v="38"/>
    <n v="86.9"/>
    <n v="1824.9"/>
    <d v="2025-02-20T00:00:00"/>
    <d v="2025-02-23T00:00:00"/>
    <s v="F"/>
    <x v="0"/>
    <n v="3"/>
    <x v="0"/>
    <x v="3"/>
    <x v="2"/>
    <x v="7"/>
    <x v="2"/>
  </r>
  <r>
    <s v="TX501334"/>
    <x v="11"/>
    <x v="2"/>
    <n v="31.8"/>
    <n v="95.4"/>
    <d v="2025-02-20T00:00:00"/>
    <d v="2025-02-22T00:00:00"/>
    <s v="M"/>
    <x v="0"/>
    <n v="5"/>
    <x v="0"/>
    <x v="3"/>
    <x v="1"/>
    <x v="7"/>
    <x v="1"/>
  </r>
  <r>
    <s v="TX501335"/>
    <x v="8"/>
    <x v="0"/>
    <n v="19"/>
    <n v="19"/>
    <d v="2025-02-20T00:00:00"/>
    <d v="2025-02-21T00:00:00"/>
    <s v="F"/>
    <x v="0"/>
    <n v="5"/>
    <x v="0"/>
    <x v="3"/>
    <x v="3"/>
    <x v="7"/>
    <x v="2"/>
  </r>
  <r>
    <s v="TX501336"/>
    <x v="5"/>
    <x v="0"/>
    <n v="54.5"/>
    <n v="54.5"/>
    <d v="2025-02-20T00:00:00"/>
    <d v="2025-02-22T00:00:00"/>
    <s v="M"/>
    <x v="0"/>
    <n v="4"/>
    <x v="0"/>
    <x v="3"/>
    <x v="1"/>
    <x v="7"/>
    <x v="1"/>
  </r>
  <r>
    <s v="TX501337"/>
    <x v="9"/>
    <x v="9"/>
    <n v="68.900000000000006"/>
    <n v="344.5"/>
    <d v="2025-02-20T00:00:00"/>
    <d v="2025-02-22T00:00:00"/>
    <s v="M"/>
    <x v="4"/>
    <n v="3"/>
    <x v="0"/>
    <x v="3"/>
    <x v="1"/>
    <x v="7"/>
    <x v="1"/>
  </r>
  <r>
    <s v="TX501338"/>
    <x v="6"/>
    <x v="2"/>
    <n v="84"/>
    <n v="252"/>
    <d v="2025-02-20T00:00:00"/>
    <d v="2025-02-21T00:00:00"/>
    <s v="M"/>
    <x v="1"/>
    <n v="2"/>
    <x v="0"/>
    <x v="16"/>
    <x v="3"/>
    <x v="7"/>
    <x v="1"/>
  </r>
  <r>
    <s v="TX501339"/>
    <x v="15"/>
    <x v="8"/>
    <n v="23.1"/>
    <n v="184.8"/>
    <d v="2025-02-20T00:00:00"/>
    <d v="2025-02-25T00:00:00"/>
    <s v="M"/>
    <x v="0"/>
    <n v="5"/>
    <x v="0"/>
    <x v="23"/>
    <x v="0"/>
    <x v="7"/>
    <x v="1"/>
  </r>
  <r>
    <s v="TX501340"/>
    <x v="7"/>
    <x v="1"/>
    <n v="62.4"/>
    <n v="124.8"/>
    <d v="2025-02-20T00:00:00"/>
    <d v="2025-02-21T00:00:00"/>
    <s v="F"/>
    <x v="0"/>
    <n v="3"/>
    <x v="0"/>
    <x v="6"/>
    <x v="3"/>
    <x v="7"/>
    <x v="2"/>
  </r>
  <r>
    <s v="TX501341"/>
    <x v="6"/>
    <x v="4"/>
    <n v="40.700000000000003"/>
    <n v="488.40000000000003"/>
    <d v="2025-02-20T00:00:00"/>
    <d v="2025-02-22T00:00:00"/>
    <s v="M"/>
    <x v="1"/>
    <n v="5"/>
    <x v="0"/>
    <x v="6"/>
    <x v="1"/>
    <x v="7"/>
    <x v="1"/>
  </r>
  <r>
    <s v="TX501342"/>
    <x v="6"/>
    <x v="0"/>
    <n v="49.6"/>
    <n v="49.6"/>
    <d v="2025-02-20T00:00:00"/>
    <d v="2025-02-23T00:00:00"/>
    <s v="M"/>
    <x v="2"/>
    <n v="4"/>
    <x v="0"/>
    <x v="7"/>
    <x v="2"/>
    <x v="7"/>
    <x v="1"/>
  </r>
  <r>
    <s v="TX501343"/>
    <x v="7"/>
    <x v="41"/>
    <n v="66.599999999999994"/>
    <n v="2996.9999999999995"/>
    <d v="2025-02-20T00:00:00"/>
    <d v="2025-02-23T00:00:00"/>
    <s v="M"/>
    <x v="2"/>
    <n v="4"/>
    <x v="0"/>
    <x v="8"/>
    <x v="2"/>
    <x v="7"/>
    <x v="1"/>
  </r>
  <r>
    <s v="TX501344"/>
    <x v="8"/>
    <x v="2"/>
    <n v="26.4"/>
    <n v="79.199999999999989"/>
    <d v="2025-02-20T00:00:00"/>
    <d v="2025-02-21T00:00:00"/>
    <s v="F"/>
    <x v="1"/>
    <n v="3"/>
    <x v="0"/>
    <x v="8"/>
    <x v="3"/>
    <x v="7"/>
    <x v="2"/>
  </r>
  <r>
    <s v="TX501345"/>
    <x v="0"/>
    <x v="1"/>
    <n v="17.2"/>
    <n v="34.4"/>
    <d v="2025-02-20T00:00:00"/>
    <d v="2025-02-23T00:00:00"/>
    <s v="M"/>
    <x v="2"/>
    <n v="3"/>
    <x v="0"/>
    <x v="8"/>
    <x v="2"/>
    <x v="7"/>
    <x v="1"/>
  </r>
  <r>
    <s v="TX501346"/>
    <x v="5"/>
    <x v="8"/>
    <n v="58.1"/>
    <n v="464.8"/>
    <d v="2025-02-20T00:00:00"/>
    <d v="2025-02-23T00:00:00"/>
    <s v="F"/>
    <x v="4"/>
    <n v="4"/>
    <x v="0"/>
    <x v="8"/>
    <x v="2"/>
    <x v="7"/>
    <x v="2"/>
  </r>
  <r>
    <s v="TX501347"/>
    <x v="15"/>
    <x v="12"/>
    <n v="31.5"/>
    <n v="126"/>
    <d v="2025-02-20T00:00:00"/>
    <d v="2025-02-23T00:00:00"/>
    <s v="F"/>
    <x v="4"/>
    <n v="2"/>
    <x v="0"/>
    <x v="8"/>
    <x v="2"/>
    <x v="7"/>
    <x v="2"/>
  </r>
  <r>
    <s v="TX501348"/>
    <x v="0"/>
    <x v="0"/>
    <n v="27.1"/>
    <n v="27.1"/>
    <d v="2025-02-20T00:00:00"/>
    <d v="2025-02-22T00:00:00"/>
    <s v="F"/>
    <x v="0"/>
    <n v="3"/>
    <x v="0"/>
    <x v="17"/>
    <x v="1"/>
    <x v="7"/>
    <x v="2"/>
  </r>
  <r>
    <s v="TX501349"/>
    <x v="18"/>
    <x v="12"/>
    <n v="28.5"/>
    <n v="114"/>
    <d v="2025-02-20T00:00:00"/>
    <d v="2025-02-22T00:00:00"/>
    <s v="M"/>
    <x v="1"/>
    <n v="5"/>
    <x v="0"/>
    <x v="9"/>
    <x v="1"/>
    <x v="7"/>
    <x v="1"/>
  </r>
  <r>
    <s v="TX501350"/>
    <x v="10"/>
    <x v="0"/>
    <n v="40.5"/>
    <n v="40.5"/>
    <d v="2025-02-21T00:00:00"/>
    <d v="2025-02-23T00:00:00"/>
    <s v="O"/>
    <x v="2"/>
    <n v="4"/>
    <x v="0"/>
    <x v="9"/>
    <x v="1"/>
    <x v="7"/>
    <x v="3"/>
  </r>
  <r>
    <s v="TX501351"/>
    <x v="2"/>
    <x v="2"/>
    <n v="77.900000000000006"/>
    <n v="233.70000000000002"/>
    <d v="2025-02-21T00:00:00"/>
    <d v="2025-02-25T00:00:00"/>
    <s v="F"/>
    <x v="1"/>
    <n v="5"/>
    <x v="0"/>
    <x v="19"/>
    <x v="5"/>
    <x v="7"/>
    <x v="2"/>
  </r>
  <r>
    <s v="TX501352"/>
    <x v="18"/>
    <x v="12"/>
    <n v="37.1"/>
    <n v="148.4"/>
    <d v="2025-02-21T00:00:00"/>
    <d v="2025-02-23T00:00:00"/>
    <s v="M"/>
    <x v="4"/>
    <n v="5"/>
    <x v="0"/>
    <x v="19"/>
    <x v="1"/>
    <x v="7"/>
    <x v="1"/>
  </r>
  <r>
    <s v="TX501353"/>
    <x v="16"/>
    <x v="2"/>
    <n v="51.6"/>
    <n v="154.80000000000001"/>
    <d v="2025-02-21T00:00:00"/>
    <d v="2025-03-01T00:00:00"/>
    <s v="F"/>
    <x v="0"/>
    <n v="2"/>
    <x v="0"/>
    <x v="19"/>
    <x v="9"/>
    <x v="7"/>
    <x v="2"/>
  </r>
  <r>
    <s v="TX501354"/>
    <x v="7"/>
    <x v="2"/>
    <n v="98"/>
    <n v="294"/>
    <d v="2025-02-21T00:00:00"/>
    <d v="2025-02-22T00:00:00"/>
    <s v="M"/>
    <x v="1"/>
    <n v="3"/>
    <x v="0"/>
    <x v="19"/>
    <x v="3"/>
    <x v="7"/>
    <x v="1"/>
  </r>
  <r>
    <s v="TX501355"/>
    <x v="6"/>
    <x v="3"/>
    <n v="41.4"/>
    <n v="289.8"/>
    <d v="2025-02-21T00:00:00"/>
    <d v="2025-02-22T00:00:00"/>
    <s v="M"/>
    <x v="1"/>
    <n v="4"/>
    <x v="0"/>
    <x v="20"/>
    <x v="3"/>
    <x v="7"/>
    <x v="1"/>
  </r>
  <r>
    <s v="TX501356"/>
    <x v="11"/>
    <x v="8"/>
    <n v="34"/>
    <n v="272"/>
    <d v="2025-02-21T00:00:00"/>
    <d v="2025-02-26T00:00:00"/>
    <s v="F"/>
    <x v="0"/>
    <n v="5"/>
    <x v="0"/>
    <x v="52"/>
    <x v="0"/>
    <x v="7"/>
    <x v="2"/>
  </r>
  <r>
    <s v="TX501357"/>
    <x v="6"/>
    <x v="0"/>
    <n v="66.3"/>
    <n v="66.3"/>
    <d v="2025-02-21T00:00:00"/>
    <d v="2025-02-22T00:00:00"/>
    <s v="F"/>
    <x v="1"/>
    <n v="4"/>
    <x v="0"/>
    <x v="13"/>
    <x v="3"/>
    <x v="7"/>
    <x v="2"/>
  </r>
  <r>
    <s v="TX501358"/>
    <x v="7"/>
    <x v="0"/>
    <n v="33.5"/>
    <n v="33.5"/>
    <d v="2025-02-21T00:00:00"/>
    <d v="2025-02-25T00:00:00"/>
    <s v="M"/>
    <x v="2"/>
    <n v="4"/>
    <x v="0"/>
    <x v="13"/>
    <x v="5"/>
    <x v="7"/>
    <x v="1"/>
  </r>
  <r>
    <s v="TX501359"/>
    <x v="12"/>
    <x v="1"/>
    <n v="70.8"/>
    <n v="141.6"/>
    <d v="2025-02-21T00:00:00"/>
    <d v="2025-02-22T00:00:00"/>
    <s v=""/>
    <x v="0"/>
    <n v="4"/>
    <x v="0"/>
    <x v="28"/>
    <x v="3"/>
    <x v="7"/>
    <x v="0"/>
  </r>
  <r>
    <s v="TX501360"/>
    <x v="6"/>
    <x v="1"/>
    <n v="127.6"/>
    <n v="255.2"/>
    <d v="2025-02-21T00:00:00"/>
    <d v="2025-02-22T00:00:00"/>
    <s v="M"/>
    <x v="0"/>
    <n v="4"/>
    <x v="0"/>
    <x v="21"/>
    <x v="3"/>
    <x v="7"/>
    <x v="1"/>
  </r>
  <r>
    <s v="TX501361"/>
    <x v="6"/>
    <x v="2"/>
    <n v="95.9"/>
    <n v="287.70000000000005"/>
    <d v="2025-02-21T00:00:00"/>
    <d v="2025-02-22T00:00:00"/>
    <s v="F"/>
    <x v="1"/>
    <n v="3"/>
    <x v="0"/>
    <x v="21"/>
    <x v="3"/>
    <x v="7"/>
    <x v="2"/>
  </r>
  <r>
    <s v="TX501362"/>
    <x v="2"/>
    <x v="1"/>
    <n v="78.099999999999994"/>
    <n v="156.19999999999999"/>
    <d v="2025-02-21T00:00:00"/>
    <d v="2025-02-22T00:00:00"/>
    <s v="M"/>
    <x v="0"/>
    <n v="4"/>
    <x v="0"/>
    <x v="1"/>
    <x v="3"/>
    <x v="7"/>
    <x v="1"/>
  </r>
  <r>
    <s v="TX501363"/>
    <x v="13"/>
    <x v="1"/>
    <n v="43.2"/>
    <n v="86.4"/>
    <d v="2025-02-21T00:00:00"/>
    <d v="2025-02-22T00:00:00"/>
    <s v=""/>
    <x v="1"/>
    <n v="3"/>
    <x v="0"/>
    <x v="1"/>
    <x v="3"/>
    <x v="7"/>
    <x v="0"/>
  </r>
  <r>
    <s v="TX501364"/>
    <x v="8"/>
    <x v="12"/>
    <n v="28.4"/>
    <n v="113.6"/>
    <d v="2025-02-21T00:00:00"/>
    <d v="2025-02-27T00:00:00"/>
    <s v="M"/>
    <x v="2"/>
    <n v="4"/>
    <x v="0"/>
    <x v="3"/>
    <x v="4"/>
    <x v="7"/>
    <x v="1"/>
  </r>
  <r>
    <s v="TX501365"/>
    <x v="2"/>
    <x v="1"/>
    <n v="81.7"/>
    <n v="163.4"/>
    <d v="2025-02-21T00:00:00"/>
    <d v="2025-02-21T00:00:00"/>
    <s v="M"/>
    <x v="0"/>
    <n v="4"/>
    <x v="0"/>
    <x v="3"/>
    <x v="7"/>
    <x v="7"/>
    <x v="1"/>
  </r>
  <r>
    <s v="TX501366"/>
    <x v="18"/>
    <x v="1"/>
    <n v="56.7"/>
    <n v="113.4"/>
    <d v="2025-02-21T00:00:00"/>
    <d v="2025-02-23T00:00:00"/>
    <s v=""/>
    <x v="0"/>
    <n v="5"/>
    <x v="0"/>
    <x v="3"/>
    <x v="1"/>
    <x v="7"/>
    <x v="0"/>
  </r>
  <r>
    <s v="TX501367"/>
    <x v="3"/>
    <x v="12"/>
    <n v="66.5"/>
    <n v="266"/>
    <d v="2025-02-21T00:00:00"/>
    <d v="2025-02-21T00:00:00"/>
    <s v="F"/>
    <x v="0"/>
    <n v="5"/>
    <x v="0"/>
    <x v="3"/>
    <x v="7"/>
    <x v="7"/>
    <x v="2"/>
  </r>
  <r>
    <s v="TX501368"/>
    <x v="1"/>
    <x v="1"/>
    <n v="105.3"/>
    <n v="210.6"/>
    <d v="2025-02-21T00:00:00"/>
    <d v="2025-02-25T00:00:00"/>
    <s v="M"/>
    <x v="0"/>
    <n v="3"/>
    <x v="0"/>
    <x v="3"/>
    <x v="5"/>
    <x v="7"/>
    <x v="1"/>
  </r>
  <r>
    <s v="TX501369"/>
    <x v="10"/>
    <x v="9"/>
    <n v="33.799999999999997"/>
    <n v="169"/>
    <d v="2025-02-21T00:00:00"/>
    <d v="2025-02-26T00:00:00"/>
    <s v="M"/>
    <x v="0"/>
    <n v="4"/>
    <x v="0"/>
    <x v="3"/>
    <x v="0"/>
    <x v="7"/>
    <x v="1"/>
  </r>
  <r>
    <s v="TX501370"/>
    <x v="6"/>
    <x v="2"/>
    <n v="63.4"/>
    <n v="190.2"/>
    <d v="2025-02-21T00:00:00"/>
    <d v="2025-02-26T00:00:00"/>
    <s v="M"/>
    <x v="3"/>
    <n v="3"/>
    <x v="0"/>
    <x v="24"/>
    <x v="0"/>
    <x v="7"/>
    <x v="1"/>
  </r>
  <r>
    <s v="TX501371"/>
    <x v="6"/>
    <x v="2"/>
    <n v="49"/>
    <n v="147"/>
    <d v="2025-02-21T00:00:00"/>
    <d v="2025-02-25T00:00:00"/>
    <s v="M"/>
    <x v="3"/>
    <n v="4"/>
    <x v="0"/>
    <x v="49"/>
    <x v="5"/>
    <x v="7"/>
    <x v="1"/>
  </r>
  <r>
    <s v="TX501372"/>
    <x v="1"/>
    <x v="1"/>
    <n v="40"/>
    <n v="80"/>
    <d v="2025-02-21T00:00:00"/>
    <d v="2025-02-22T00:00:00"/>
    <s v="F"/>
    <x v="4"/>
    <n v="3"/>
    <x v="0"/>
    <x v="23"/>
    <x v="3"/>
    <x v="7"/>
    <x v="2"/>
  </r>
  <r>
    <s v="TX501373"/>
    <x v="6"/>
    <x v="12"/>
    <n v="86.3"/>
    <n v="345.2"/>
    <d v="2025-02-21T00:00:00"/>
    <d v="2025-02-22T00:00:00"/>
    <s v="O"/>
    <x v="0"/>
    <n v="4"/>
    <x v="0"/>
    <x v="6"/>
    <x v="3"/>
    <x v="7"/>
    <x v="3"/>
  </r>
  <r>
    <s v="TX501374"/>
    <x v="6"/>
    <x v="0"/>
    <n v="51.6"/>
    <n v="51.6"/>
    <d v="2025-02-21T00:00:00"/>
    <d v="2025-02-23T00:00:00"/>
    <s v="F"/>
    <x v="2"/>
    <n v="5"/>
    <x v="0"/>
    <x v="6"/>
    <x v="1"/>
    <x v="7"/>
    <x v="2"/>
  </r>
  <r>
    <s v="TX501375"/>
    <x v="10"/>
    <x v="2"/>
    <n v="26.7"/>
    <n v="80.099999999999994"/>
    <d v="2025-02-21T00:00:00"/>
    <d v="2025-02-26T00:00:00"/>
    <s v="F"/>
    <x v="2"/>
    <n v="3"/>
    <x v="0"/>
    <x v="6"/>
    <x v="0"/>
    <x v="7"/>
    <x v="2"/>
  </r>
  <r>
    <s v="TX501376"/>
    <x v="18"/>
    <x v="1"/>
    <n v="68.099999999999994"/>
    <n v="136.19999999999999"/>
    <d v="2025-02-21T00:00:00"/>
    <d v="2025-02-22T00:00:00"/>
    <s v="M"/>
    <x v="0"/>
    <n v="3"/>
    <x v="0"/>
    <x v="6"/>
    <x v="3"/>
    <x v="7"/>
    <x v="1"/>
  </r>
  <r>
    <s v="TX501377"/>
    <x v="1"/>
    <x v="0"/>
    <n v="81.7"/>
    <n v="81.7"/>
    <d v="2025-02-21T00:00:00"/>
    <d v="2025-02-22T00:00:00"/>
    <s v="M"/>
    <x v="0"/>
    <n v="4"/>
    <x v="0"/>
    <x v="7"/>
    <x v="3"/>
    <x v="7"/>
    <x v="1"/>
  </r>
  <r>
    <s v="TX501378"/>
    <x v="18"/>
    <x v="7"/>
    <n v="25.1"/>
    <n v="251"/>
    <d v="2025-02-21T00:00:00"/>
    <d v="2025-02-24T00:00:00"/>
    <s v="M"/>
    <x v="3"/>
    <n v="3"/>
    <x v="0"/>
    <x v="8"/>
    <x v="2"/>
    <x v="7"/>
    <x v="1"/>
  </r>
  <r>
    <s v="TX501379"/>
    <x v="8"/>
    <x v="0"/>
    <n v="20.2"/>
    <n v="20.2"/>
    <d v="2025-02-21T00:00:00"/>
    <d v="2025-02-25T00:00:00"/>
    <s v="F"/>
    <x v="0"/>
    <n v="4"/>
    <x v="0"/>
    <x v="8"/>
    <x v="5"/>
    <x v="7"/>
    <x v="2"/>
  </r>
  <r>
    <s v="TX501380"/>
    <x v="8"/>
    <x v="2"/>
    <n v="15.4"/>
    <n v="46.2"/>
    <d v="2025-02-21T00:00:00"/>
    <d v="2025-02-22T00:00:00"/>
    <s v="M"/>
    <x v="1"/>
    <n v="5"/>
    <x v="0"/>
    <x v="8"/>
    <x v="3"/>
    <x v="7"/>
    <x v="1"/>
  </r>
  <r>
    <s v="TX501381"/>
    <x v="10"/>
    <x v="0"/>
    <n v="59.2"/>
    <n v="59.2"/>
    <d v="2025-02-21T00:00:00"/>
    <d v="2025-02-22T00:00:00"/>
    <s v="M"/>
    <x v="2"/>
    <n v="5"/>
    <x v="0"/>
    <x v="17"/>
    <x v="3"/>
    <x v="7"/>
    <x v="1"/>
  </r>
  <r>
    <s v="TX501382"/>
    <x v="0"/>
    <x v="0"/>
    <n v="46.7"/>
    <n v="46.7"/>
    <d v="2025-02-21T00:00:00"/>
    <d v="2025-02-26T00:00:00"/>
    <s v="M"/>
    <x v="0"/>
    <n v="4"/>
    <x v="0"/>
    <x v="17"/>
    <x v="0"/>
    <x v="7"/>
    <x v="1"/>
  </r>
  <r>
    <s v="TX501383"/>
    <x v="6"/>
    <x v="20"/>
    <n v="41.6"/>
    <n v="624"/>
    <d v="2025-02-21T00:00:00"/>
    <d v="2025-02-23T00:00:00"/>
    <s v="M"/>
    <x v="1"/>
    <n v="4"/>
    <x v="0"/>
    <x v="26"/>
    <x v="1"/>
    <x v="7"/>
    <x v="1"/>
  </r>
  <r>
    <s v="TX501384"/>
    <x v="8"/>
    <x v="1"/>
    <n v="19.2"/>
    <n v="38.4"/>
    <d v="2025-02-21T00:00:00"/>
    <d v="2025-02-24T00:00:00"/>
    <s v="M"/>
    <x v="4"/>
    <n v="5"/>
    <x v="0"/>
    <x v="9"/>
    <x v="2"/>
    <x v="7"/>
    <x v="1"/>
  </r>
  <r>
    <s v="TX501385"/>
    <x v="17"/>
    <x v="3"/>
    <n v="41.8"/>
    <n v="292.59999999999997"/>
    <d v="2025-02-21T00:00:00"/>
    <d v="2025-02-23T00:00:00"/>
    <s v="F"/>
    <x v="2"/>
    <n v="4"/>
    <x v="0"/>
    <x v="11"/>
    <x v="1"/>
    <x v="7"/>
    <x v="2"/>
  </r>
  <r>
    <s v="TX501386"/>
    <x v="8"/>
    <x v="13"/>
    <n v="37.4"/>
    <n v="224.39999999999998"/>
    <d v="2025-02-21T00:00:00"/>
    <d v="2025-02-23T00:00:00"/>
    <s v="M"/>
    <x v="0"/>
    <n v="5"/>
    <x v="0"/>
    <x v="11"/>
    <x v="1"/>
    <x v="7"/>
    <x v="1"/>
  </r>
  <r>
    <s v="TX501387"/>
    <x v="10"/>
    <x v="2"/>
    <n v="60.2"/>
    <n v="180.60000000000002"/>
    <d v="2025-02-21T00:00:00"/>
    <d v="2025-02-24T00:00:00"/>
    <s v="M"/>
    <x v="4"/>
    <n v="3"/>
    <x v="0"/>
    <x v="38"/>
    <x v="2"/>
    <x v="7"/>
    <x v="1"/>
  </r>
  <r>
    <s v="TX501388"/>
    <x v="9"/>
    <x v="1"/>
    <n v="91.5"/>
    <n v="183"/>
    <d v="2025-02-22T00:00:00"/>
    <d v="2025-02-23T00:00:00"/>
    <s v="M"/>
    <x v="0"/>
    <n v="4"/>
    <x v="0"/>
    <x v="13"/>
    <x v="3"/>
    <x v="7"/>
    <x v="1"/>
  </r>
  <r>
    <s v="TX501389"/>
    <x v="3"/>
    <x v="9"/>
    <n v="55.7"/>
    <n v="278.5"/>
    <d v="2025-02-22T00:00:00"/>
    <d v="2025-02-24T00:00:00"/>
    <s v=""/>
    <x v="1"/>
    <n v="5"/>
    <x v="0"/>
    <x v="21"/>
    <x v="1"/>
    <x v="7"/>
    <x v="0"/>
  </r>
  <r>
    <s v="TX501390"/>
    <x v="7"/>
    <x v="1"/>
    <n v="76.7"/>
    <n v="153.4"/>
    <d v="2025-02-22T00:00:00"/>
    <d v="2025-02-24T00:00:00"/>
    <s v="M"/>
    <x v="0"/>
    <n v="3"/>
    <x v="0"/>
    <x v="21"/>
    <x v="1"/>
    <x v="7"/>
    <x v="1"/>
  </r>
  <r>
    <s v="TX501391"/>
    <x v="8"/>
    <x v="38"/>
    <n v="28.2"/>
    <n v="592.19999999999993"/>
    <d v="2025-02-22T00:00:00"/>
    <d v="2025-02-27T00:00:00"/>
    <s v="M"/>
    <x v="2"/>
    <n v="4"/>
    <x v="0"/>
    <x v="1"/>
    <x v="0"/>
    <x v="7"/>
    <x v="1"/>
  </r>
  <r>
    <s v="TX501392"/>
    <x v="7"/>
    <x v="9"/>
    <n v="93.2"/>
    <n v="466"/>
    <d v="2025-02-22T00:00:00"/>
    <d v="2025-02-24T00:00:00"/>
    <s v="F"/>
    <x v="4"/>
    <n v="5"/>
    <x v="0"/>
    <x v="1"/>
    <x v="1"/>
    <x v="7"/>
    <x v="2"/>
  </r>
  <r>
    <s v="TX501393"/>
    <x v="17"/>
    <x v="0"/>
    <n v="33.299999999999997"/>
    <n v="33.299999999999997"/>
    <d v="2025-02-22T00:00:00"/>
    <d v="2025-02-23T00:00:00"/>
    <s v="M"/>
    <x v="4"/>
    <n v="4"/>
    <x v="0"/>
    <x v="2"/>
    <x v="3"/>
    <x v="7"/>
    <x v="1"/>
  </r>
  <r>
    <s v="TX501394"/>
    <x v="10"/>
    <x v="1"/>
    <n v="39.1"/>
    <n v="78.2"/>
    <d v="2025-02-22T00:00:00"/>
    <d v="2025-02-25T00:00:00"/>
    <s v="M"/>
    <x v="0"/>
    <n v="4"/>
    <x v="0"/>
    <x v="44"/>
    <x v="2"/>
    <x v="7"/>
    <x v="1"/>
  </r>
  <r>
    <s v="TX501395"/>
    <x v="7"/>
    <x v="4"/>
    <n v="45.3"/>
    <n v="543.59999999999991"/>
    <d v="2025-02-22T00:00:00"/>
    <d v="2025-02-23T00:00:00"/>
    <s v="M"/>
    <x v="2"/>
    <n v="4"/>
    <x v="0"/>
    <x v="33"/>
    <x v="3"/>
    <x v="7"/>
    <x v="1"/>
  </r>
  <r>
    <s v="TX501396"/>
    <x v="9"/>
    <x v="3"/>
    <n v="33.9"/>
    <n v="237.29999999999998"/>
    <d v="2025-02-22T00:00:00"/>
    <d v="2025-02-23T00:00:00"/>
    <s v="M"/>
    <x v="4"/>
    <n v="4"/>
    <x v="0"/>
    <x v="33"/>
    <x v="3"/>
    <x v="7"/>
    <x v="1"/>
  </r>
  <r>
    <s v="TX501397"/>
    <x v="8"/>
    <x v="2"/>
    <n v="19"/>
    <n v="57"/>
    <d v="2025-02-22T00:00:00"/>
    <d v="2025-02-23T00:00:00"/>
    <s v="M"/>
    <x v="0"/>
    <n v="5"/>
    <x v="0"/>
    <x v="15"/>
    <x v="3"/>
    <x v="7"/>
    <x v="1"/>
  </r>
  <r>
    <s v="TX501398"/>
    <x v="4"/>
    <x v="0"/>
    <n v="41.9"/>
    <n v="41.9"/>
    <d v="2025-02-22T00:00:00"/>
    <d v="2025-02-25T00:00:00"/>
    <s v="F"/>
    <x v="2"/>
    <n v="4"/>
    <x v="0"/>
    <x v="22"/>
    <x v="2"/>
    <x v="7"/>
    <x v="2"/>
  </r>
  <r>
    <s v="TX501399"/>
    <x v="1"/>
    <x v="12"/>
    <n v="37.5"/>
    <n v="150"/>
    <d v="2025-02-22T00:00:00"/>
    <d v="2025-02-22T00:00:00"/>
    <s v="F"/>
    <x v="0"/>
    <n v="4"/>
    <x v="0"/>
    <x v="3"/>
    <x v="7"/>
    <x v="7"/>
    <x v="2"/>
  </r>
  <r>
    <s v="TX501400"/>
    <x v="0"/>
    <x v="1"/>
    <n v="40.799999999999997"/>
    <n v="81.599999999999994"/>
    <d v="2025-02-22T00:00:00"/>
    <d v="2025-02-25T00:00:00"/>
    <s v="M"/>
    <x v="0"/>
    <n v="4"/>
    <x v="0"/>
    <x v="3"/>
    <x v="2"/>
    <x v="7"/>
    <x v="1"/>
  </r>
  <r>
    <s v="TX501401"/>
    <x v="0"/>
    <x v="12"/>
    <n v="23.1"/>
    <n v="92.4"/>
    <d v="2025-02-22T00:00:00"/>
    <d v="2025-02-23T00:00:00"/>
    <s v="F"/>
    <x v="4"/>
    <n v="4"/>
    <x v="0"/>
    <x v="3"/>
    <x v="3"/>
    <x v="7"/>
    <x v="2"/>
  </r>
  <r>
    <s v="TX501402"/>
    <x v="8"/>
    <x v="9"/>
    <n v="39.299999999999997"/>
    <n v="196.5"/>
    <d v="2025-02-22T00:00:00"/>
    <d v="2025-02-23T00:00:00"/>
    <s v="F"/>
    <x v="0"/>
    <n v="4"/>
    <x v="0"/>
    <x v="3"/>
    <x v="3"/>
    <x v="7"/>
    <x v="2"/>
  </r>
  <r>
    <s v="TX501403"/>
    <x v="2"/>
    <x v="12"/>
    <n v="85.2"/>
    <n v="340.8"/>
    <d v="2025-02-22T00:00:00"/>
    <d v="2025-02-27T00:00:00"/>
    <s v="M"/>
    <x v="2"/>
    <n v="4"/>
    <x v="0"/>
    <x v="3"/>
    <x v="0"/>
    <x v="7"/>
    <x v="1"/>
  </r>
  <r>
    <s v="TX501404"/>
    <x v="8"/>
    <x v="13"/>
    <n v="16"/>
    <n v="96"/>
    <d v="2025-02-22T00:00:00"/>
    <d v="2025-02-25T00:00:00"/>
    <s v="M"/>
    <x v="1"/>
    <n v="4"/>
    <x v="0"/>
    <x v="3"/>
    <x v="2"/>
    <x v="7"/>
    <x v="1"/>
  </r>
  <r>
    <s v="TX501405"/>
    <x v="1"/>
    <x v="1"/>
    <n v="33.799999999999997"/>
    <n v="67.599999999999994"/>
    <d v="2025-02-22T00:00:00"/>
    <d v="2025-02-26T00:00:00"/>
    <s v="F"/>
    <x v="1"/>
    <n v="4"/>
    <x v="0"/>
    <x v="3"/>
    <x v="5"/>
    <x v="7"/>
    <x v="2"/>
  </r>
  <r>
    <s v="TX501406"/>
    <x v="3"/>
    <x v="0"/>
    <n v="70"/>
    <n v="70"/>
    <d v="2025-02-22T00:00:00"/>
    <d v="2025-02-23T00:00:00"/>
    <s v="F"/>
    <x v="0"/>
    <n v="4"/>
    <x v="0"/>
    <x v="3"/>
    <x v="3"/>
    <x v="7"/>
    <x v="2"/>
  </r>
  <r>
    <s v="TX501407"/>
    <x v="9"/>
    <x v="0"/>
    <n v="88"/>
    <n v="88"/>
    <d v="2025-02-22T00:00:00"/>
    <d v="2025-02-27T00:00:00"/>
    <s v="F"/>
    <x v="3"/>
    <n v="4"/>
    <x v="0"/>
    <x v="3"/>
    <x v="0"/>
    <x v="7"/>
    <x v="2"/>
  </r>
  <r>
    <s v="TX501408"/>
    <x v="2"/>
    <x v="2"/>
    <n v="74.099999999999994"/>
    <n v="222.29999999999998"/>
    <d v="2025-02-22T00:00:00"/>
    <d v="2025-02-22T00:00:00"/>
    <s v="M"/>
    <x v="4"/>
    <n v="3"/>
    <x v="0"/>
    <x v="3"/>
    <x v="7"/>
    <x v="7"/>
    <x v="1"/>
  </r>
  <r>
    <s v="TX501409"/>
    <x v="2"/>
    <x v="0"/>
    <n v="161.9"/>
    <n v="161.9"/>
    <d v="2025-02-22T00:00:00"/>
    <d v="2025-02-24T00:00:00"/>
    <s v="M"/>
    <x v="2"/>
    <n v="4"/>
    <x v="0"/>
    <x v="3"/>
    <x v="1"/>
    <x v="7"/>
    <x v="1"/>
  </r>
  <r>
    <s v="TX501410"/>
    <x v="4"/>
    <x v="1"/>
    <n v="44"/>
    <n v="88"/>
    <d v="2025-02-22T00:00:00"/>
    <d v="2025-02-23T00:00:00"/>
    <s v="O"/>
    <x v="4"/>
    <n v="3"/>
    <x v="0"/>
    <x v="3"/>
    <x v="3"/>
    <x v="7"/>
    <x v="3"/>
  </r>
  <r>
    <s v="TX501411"/>
    <x v="11"/>
    <x v="0"/>
    <n v="32.1"/>
    <n v="32.1"/>
    <d v="2025-02-22T00:00:00"/>
    <d v="2025-02-22T00:00:00"/>
    <s v="F"/>
    <x v="3"/>
    <n v="1"/>
    <x v="0"/>
    <x v="3"/>
    <x v="7"/>
    <x v="7"/>
    <x v="2"/>
  </r>
  <r>
    <s v="TX501412"/>
    <x v="2"/>
    <x v="12"/>
    <n v="104.8"/>
    <n v="419.2"/>
    <d v="2025-02-23T00:00:00"/>
    <d v="2025-02-25T00:00:00"/>
    <s v="O"/>
    <x v="0"/>
    <n v="4"/>
    <x v="0"/>
    <x v="3"/>
    <x v="1"/>
    <x v="8"/>
    <x v="3"/>
  </r>
  <r>
    <s v="TX501413"/>
    <x v="9"/>
    <x v="13"/>
    <n v="67.400000000000006"/>
    <n v="404.40000000000003"/>
    <d v="2025-02-23T00:00:00"/>
    <d v="2025-02-24T00:00:00"/>
    <s v="F"/>
    <x v="3"/>
    <n v="4"/>
    <x v="0"/>
    <x v="3"/>
    <x v="3"/>
    <x v="8"/>
    <x v="2"/>
  </r>
  <r>
    <s v="TX501414"/>
    <x v="6"/>
    <x v="1"/>
    <n v="115.2"/>
    <n v="230.4"/>
    <d v="2025-02-23T00:00:00"/>
    <d v="2025-02-24T00:00:00"/>
    <s v="F"/>
    <x v="1"/>
    <n v="4"/>
    <x v="0"/>
    <x v="4"/>
    <x v="3"/>
    <x v="8"/>
    <x v="2"/>
  </r>
  <r>
    <s v="TX501415"/>
    <x v="8"/>
    <x v="19"/>
    <n v="15.5"/>
    <n v="449.5"/>
    <d v="2025-02-23T00:00:00"/>
    <d v="2025-02-25T00:00:00"/>
    <s v="F"/>
    <x v="0"/>
    <n v="3"/>
    <x v="0"/>
    <x v="23"/>
    <x v="1"/>
    <x v="8"/>
    <x v="2"/>
  </r>
  <r>
    <s v="TX501416"/>
    <x v="6"/>
    <x v="5"/>
    <n v="66.400000000000006"/>
    <n v="730.40000000000009"/>
    <d v="2025-02-23T00:00:00"/>
    <d v="2025-02-25T00:00:00"/>
    <s v="F"/>
    <x v="0"/>
    <n v="4"/>
    <x v="0"/>
    <x v="6"/>
    <x v="1"/>
    <x v="8"/>
    <x v="2"/>
  </r>
  <r>
    <s v="TX501417"/>
    <x v="9"/>
    <x v="4"/>
    <n v="68.099999999999994"/>
    <n v="817.19999999999993"/>
    <d v="2025-02-23T00:00:00"/>
    <d v="2025-02-24T00:00:00"/>
    <s v="F"/>
    <x v="2"/>
    <n v="4"/>
    <x v="0"/>
    <x v="8"/>
    <x v="3"/>
    <x v="8"/>
    <x v="2"/>
  </r>
  <r>
    <s v="TX501418"/>
    <x v="8"/>
    <x v="9"/>
    <n v="32.5"/>
    <n v="162.5"/>
    <d v="2025-02-23T00:00:00"/>
    <d v="2025-02-27T00:00:00"/>
    <s v="M"/>
    <x v="2"/>
    <n v="3"/>
    <x v="0"/>
    <x v="8"/>
    <x v="5"/>
    <x v="8"/>
    <x v="1"/>
  </r>
  <r>
    <s v="TX501419"/>
    <x v="15"/>
    <x v="2"/>
    <n v="61.2"/>
    <n v="183.60000000000002"/>
    <d v="2025-02-23T00:00:00"/>
    <d v="2025-02-25T00:00:00"/>
    <s v="F"/>
    <x v="1"/>
    <n v="3"/>
    <x v="0"/>
    <x v="8"/>
    <x v="1"/>
    <x v="8"/>
    <x v="2"/>
  </r>
  <r>
    <s v="TX501420"/>
    <x v="9"/>
    <x v="1"/>
    <n v="54.2"/>
    <n v="108.4"/>
    <d v="2025-02-23T00:00:00"/>
    <d v="2025-02-24T00:00:00"/>
    <s v="F"/>
    <x v="1"/>
    <n v="4"/>
    <x v="0"/>
    <x v="8"/>
    <x v="3"/>
    <x v="8"/>
    <x v="2"/>
  </r>
  <r>
    <s v="TX501421"/>
    <x v="11"/>
    <x v="8"/>
    <n v="28.7"/>
    <n v="229.6"/>
    <d v="2025-02-23T00:00:00"/>
    <d v="2025-02-25T00:00:00"/>
    <s v="M"/>
    <x v="1"/>
    <n v="4"/>
    <x v="0"/>
    <x v="9"/>
    <x v="1"/>
    <x v="8"/>
    <x v="1"/>
  </r>
  <r>
    <s v="TX501422"/>
    <x v="12"/>
    <x v="13"/>
    <n v="38.200000000000003"/>
    <n v="229.20000000000002"/>
    <d v="2025-02-23T00:00:00"/>
    <d v="2025-02-27T00:00:00"/>
    <s v="F"/>
    <x v="0"/>
    <n v="3"/>
    <x v="0"/>
    <x v="9"/>
    <x v="5"/>
    <x v="8"/>
    <x v="2"/>
  </r>
  <r>
    <s v="TX501423"/>
    <x v="8"/>
    <x v="4"/>
    <n v="17.600000000000001"/>
    <n v="211.20000000000002"/>
    <d v="2025-02-23T00:00:00"/>
    <d v="2025-02-24T00:00:00"/>
    <s v="F"/>
    <x v="2"/>
    <n v="3"/>
    <x v="0"/>
    <x v="9"/>
    <x v="3"/>
    <x v="8"/>
    <x v="2"/>
  </r>
  <r>
    <s v="TX501424"/>
    <x v="10"/>
    <x v="2"/>
    <n v="74.599999999999994"/>
    <n v="223.79999999999998"/>
    <d v="2025-02-23T00:00:00"/>
    <d v="2025-02-23T00:00:00"/>
    <s v="F"/>
    <x v="2"/>
    <n v="4"/>
    <x v="0"/>
    <x v="11"/>
    <x v="7"/>
    <x v="8"/>
    <x v="2"/>
  </r>
  <r>
    <s v="TX501425"/>
    <x v="16"/>
    <x v="20"/>
    <n v="72.599999999999994"/>
    <n v="1089"/>
    <d v="2025-02-23T00:00:00"/>
    <d v="2025-02-23T00:00:00"/>
    <s v=""/>
    <x v="1"/>
    <n v="3"/>
    <x v="0"/>
    <x v="11"/>
    <x v="7"/>
    <x v="8"/>
    <x v="0"/>
  </r>
  <r>
    <s v="TX501426"/>
    <x v="7"/>
    <x v="0"/>
    <n v="62.3"/>
    <n v="62.3"/>
    <d v="2025-02-23T00:00:00"/>
    <d v="2025-02-24T00:00:00"/>
    <s v="F"/>
    <x v="1"/>
    <n v="4"/>
    <x v="0"/>
    <x v="11"/>
    <x v="3"/>
    <x v="8"/>
    <x v="2"/>
  </r>
  <r>
    <s v="TX501427"/>
    <x v="3"/>
    <x v="2"/>
    <n v="33.799999999999997"/>
    <n v="101.39999999999999"/>
    <d v="2025-02-23T00:00:00"/>
    <d v="2025-02-25T00:00:00"/>
    <s v="M"/>
    <x v="0"/>
    <n v="5"/>
    <x v="0"/>
    <x v="20"/>
    <x v="1"/>
    <x v="8"/>
    <x v="1"/>
  </r>
  <r>
    <s v="TX501428"/>
    <x v="9"/>
    <x v="0"/>
    <n v="85.7"/>
    <n v="85.7"/>
    <d v="2025-02-23T00:00:00"/>
    <d v="2025-02-26T00:00:00"/>
    <s v="M"/>
    <x v="3"/>
    <n v="3"/>
    <x v="0"/>
    <x v="21"/>
    <x v="2"/>
    <x v="8"/>
    <x v="1"/>
  </r>
  <r>
    <s v="TX501429"/>
    <x v="6"/>
    <x v="1"/>
    <n v="92.1"/>
    <n v="184.2"/>
    <d v="2025-02-23T00:00:00"/>
    <d v="2025-02-25T00:00:00"/>
    <s v="M"/>
    <x v="1"/>
    <n v="4"/>
    <x v="0"/>
    <x v="21"/>
    <x v="1"/>
    <x v="8"/>
    <x v="1"/>
  </r>
  <r>
    <s v="TX501430"/>
    <x v="16"/>
    <x v="2"/>
    <n v="65.099999999999994"/>
    <n v="195.29999999999998"/>
    <d v="2025-02-23T00:00:00"/>
    <d v="2025-02-26T00:00:00"/>
    <s v="M"/>
    <x v="0"/>
    <n v="4"/>
    <x v="0"/>
    <x v="1"/>
    <x v="2"/>
    <x v="8"/>
    <x v="1"/>
  </r>
  <r>
    <s v="TX501431"/>
    <x v="9"/>
    <x v="3"/>
    <n v="20.3"/>
    <n v="142.1"/>
    <d v="2025-02-23T00:00:00"/>
    <d v="2025-02-24T00:00:00"/>
    <s v="F"/>
    <x v="2"/>
    <n v="5"/>
    <x v="0"/>
    <x v="2"/>
    <x v="3"/>
    <x v="8"/>
    <x v="2"/>
  </r>
  <r>
    <s v="TX501432"/>
    <x v="19"/>
    <x v="1"/>
    <n v="29.8"/>
    <n v="59.6"/>
    <d v="2025-02-23T00:00:00"/>
    <d v="2025-02-25T00:00:00"/>
    <s v="F"/>
    <x v="1"/>
    <n v="5"/>
    <x v="0"/>
    <x v="34"/>
    <x v="1"/>
    <x v="8"/>
    <x v="2"/>
  </r>
  <r>
    <s v="TX501433"/>
    <x v="0"/>
    <x v="1"/>
    <n v="24.2"/>
    <n v="48.4"/>
    <d v="2025-02-23T00:00:00"/>
    <d v="2025-02-25T00:00:00"/>
    <s v="F"/>
    <x v="3"/>
    <n v="5"/>
    <x v="0"/>
    <x v="3"/>
    <x v="1"/>
    <x v="8"/>
    <x v="2"/>
  </r>
  <r>
    <s v="TX501434"/>
    <x v="3"/>
    <x v="0"/>
    <n v="57.3"/>
    <n v="57.3"/>
    <d v="2025-02-23T00:00:00"/>
    <d v="2025-02-25T00:00:00"/>
    <s v="M"/>
    <x v="0"/>
    <n v="4"/>
    <x v="0"/>
    <x v="3"/>
    <x v="1"/>
    <x v="8"/>
    <x v="1"/>
  </r>
  <r>
    <s v="TX501435"/>
    <x v="2"/>
    <x v="0"/>
    <n v="108.9"/>
    <n v="108.9"/>
    <d v="2025-02-23T00:00:00"/>
    <d v="2025-02-25T00:00:00"/>
    <s v="F"/>
    <x v="1"/>
    <n v="4"/>
    <x v="0"/>
    <x v="3"/>
    <x v="1"/>
    <x v="8"/>
    <x v="2"/>
  </r>
  <r>
    <s v="TX501436"/>
    <x v="7"/>
    <x v="9"/>
    <n v="50.7"/>
    <n v="253.5"/>
    <d v="2025-02-23T00:00:00"/>
    <d v="2025-02-24T00:00:00"/>
    <s v="F"/>
    <x v="0"/>
    <n v="4"/>
    <x v="0"/>
    <x v="3"/>
    <x v="3"/>
    <x v="8"/>
    <x v="2"/>
  </r>
  <r>
    <s v="TX501437"/>
    <x v="7"/>
    <x v="11"/>
    <n v="66.099999999999994"/>
    <n v="594.9"/>
    <d v="2025-02-23T00:00:00"/>
    <d v="2025-03-09T00:00:00"/>
    <s v="F"/>
    <x v="1"/>
    <n v="4"/>
    <x v="0"/>
    <x v="3"/>
    <x v="12"/>
    <x v="8"/>
    <x v="2"/>
  </r>
  <r>
    <s v="TX501438"/>
    <x v="12"/>
    <x v="9"/>
    <n v="36.700000000000003"/>
    <n v="183.5"/>
    <d v="2025-02-23T00:00:00"/>
    <d v="2025-02-27T00:00:00"/>
    <s v="F"/>
    <x v="4"/>
    <n v="4"/>
    <x v="0"/>
    <x v="3"/>
    <x v="5"/>
    <x v="8"/>
    <x v="2"/>
  </r>
  <r>
    <s v="TX501439"/>
    <x v="8"/>
    <x v="14"/>
    <n v="19.3"/>
    <n v="328.1"/>
    <d v="2025-02-23T00:00:00"/>
    <d v="2025-02-25T00:00:00"/>
    <s v="M"/>
    <x v="0"/>
    <n v="4"/>
    <x v="0"/>
    <x v="43"/>
    <x v="1"/>
    <x v="8"/>
    <x v="1"/>
  </r>
  <r>
    <s v="TX501440"/>
    <x v="8"/>
    <x v="12"/>
    <n v="20.7"/>
    <n v="82.8"/>
    <d v="2025-02-23T00:00:00"/>
    <d v="2025-02-24T00:00:00"/>
    <s v="M"/>
    <x v="1"/>
    <n v="5"/>
    <x v="0"/>
    <x v="6"/>
    <x v="3"/>
    <x v="8"/>
    <x v="1"/>
  </r>
  <r>
    <s v="TX501441"/>
    <x v="5"/>
    <x v="2"/>
    <n v="54.7"/>
    <n v="164.10000000000002"/>
    <d v="2025-02-23T00:00:00"/>
    <d v="2025-02-23T00:00:00"/>
    <s v="O"/>
    <x v="1"/>
    <n v="2"/>
    <x v="0"/>
    <x v="6"/>
    <x v="7"/>
    <x v="8"/>
    <x v="3"/>
  </r>
  <r>
    <s v="TX501442"/>
    <x v="4"/>
    <x v="1"/>
    <n v="19.8"/>
    <n v="39.6"/>
    <d v="2025-02-23T00:00:00"/>
    <d v="2025-02-27T00:00:00"/>
    <s v="F"/>
    <x v="4"/>
    <n v="3"/>
    <x v="0"/>
    <x v="8"/>
    <x v="5"/>
    <x v="8"/>
    <x v="2"/>
  </r>
  <r>
    <s v="TX501443"/>
    <x v="7"/>
    <x v="0"/>
    <n v="41.1"/>
    <n v="41.1"/>
    <d v="2025-02-23T00:00:00"/>
    <d v="2025-02-25T00:00:00"/>
    <s v="F"/>
    <x v="0"/>
    <n v="5"/>
    <x v="0"/>
    <x v="8"/>
    <x v="1"/>
    <x v="8"/>
    <x v="2"/>
  </r>
  <r>
    <s v="TX501444"/>
    <x v="11"/>
    <x v="8"/>
    <n v="43.5"/>
    <n v="348"/>
    <d v="2025-02-23T00:00:00"/>
    <d v="2025-02-27T00:00:00"/>
    <s v="F"/>
    <x v="3"/>
    <n v="4"/>
    <x v="0"/>
    <x v="8"/>
    <x v="5"/>
    <x v="8"/>
    <x v="2"/>
  </r>
  <r>
    <s v="TX501445"/>
    <x v="8"/>
    <x v="21"/>
    <n v="19"/>
    <n v="266"/>
    <d v="2025-02-23T00:00:00"/>
    <d v="2025-02-24T00:00:00"/>
    <s v="M"/>
    <x v="0"/>
    <n v="4"/>
    <x v="0"/>
    <x v="26"/>
    <x v="3"/>
    <x v="8"/>
    <x v="1"/>
  </r>
  <r>
    <s v="TX501446"/>
    <x v="2"/>
    <x v="12"/>
    <n v="51.4"/>
    <n v="205.6"/>
    <d v="2025-02-23T00:00:00"/>
    <d v="2025-02-23T00:00:00"/>
    <s v="F"/>
    <x v="0"/>
    <n v="4"/>
    <x v="0"/>
    <x v="26"/>
    <x v="7"/>
    <x v="8"/>
    <x v="2"/>
  </r>
  <r>
    <s v="TX501447"/>
    <x v="10"/>
    <x v="1"/>
    <n v="39.799999999999997"/>
    <n v="79.599999999999994"/>
    <d v="2025-02-23T00:00:00"/>
    <d v="2025-02-26T00:00:00"/>
    <s v="M"/>
    <x v="3"/>
    <n v="3"/>
    <x v="0"/>
    <x v="13"/>
    <x v="2"/>
    <x v="8"/>
    <x v="1"/>
  </r>
  <r>
    <s v="TX501448"/>
    <x v="6"/>
    <x v="9"/>
    <n v="61"/>
    <n v="305"/>
    <d v="2025-02-23T00:00:00"/>
    <d v="2025-02-24T00:00:00"/>
    <s v=""/>
    <x v="0"/>
    <n v="5"/>
    <x v="0"/>
    <x v="21"/>
    <x v="3"/>
    <x v="8"/>
    <x v="0"/>
  </r>
  <r>
    <s v="TX501449"/>
    <x v="8"/>
    <x v="5"/>
    <n v="15.1"/>
    <n v="166.1"/>
    <d v="2025-02-24T00:00:00"/>
    <d v="2025-03-01T00:00:00"/>
    <s v="M"/>
    <x v="3"/>
    <n v="5"/>
    <x v="0"/>
    <x v="2"/>
    <x v="0"/>
    <x v="8"/>
    <x v="1"/>
  </r>
  <r>
    <s v="TX501450"/>
    <x v="1"/>
    <x v="3"/>
    <n v="71.3"/>
    <n v="499.09999999999997"/>
    <d v="2025-02-24T00:00:00"/>
    <d v="2025-02-25T00:00:00"/>
    <s v="M"/>
    <x v="4"/>
    <n v="4"/>
    <x v="0"/>
    <x v="3"/>
    <x v="3"/>
    <x v="8"/>
    <x v="1"/>
  </r>
  <r>
    <s v="TX501451"/>
    <x v="10"/>
    <x v="0"/>
    <n v="25.8"/>
    <n v="25.8"/>
    <d v="2025-02-24T00:00:00"/>
    <d v="2025-02-26T00:00:00"/>
    <s v="F"/>
    <x v="0"/>
    <n v="5"/>
    <x v="0"/>
    <x v="3"/>
    <x v="1"/>
    <x v="8"/>
    <x v="2"/>
  </r>
  <r>
    <s v="TX501452"/>
    <x v="8"/>
    <x v="9"/>
    <n v="39.6"/>
    <n v="198"/>
    <d v="2025-02-24T00:00:00"/>
    <d v="2025-02-26T00:00:00"/>
    <s v="M"/>
    <x v="1"/>
    <n v="5"/>
    <x v="0"/>
    <x v="3"/>
    <x v="1"/>
    <x v="8"/>
    <x v="1"/>
  </r>
  <r>
    <s v="TX501453"/>
    <x v="5"/>
    <x v="1"/>
    <n v="64"/>
    <n v="128"/>
    <d v="2025-02-24T00:00:00"/>
    <d v="2025-02-24T00:00:00"/>
    <s v="M"/>
    <x v="1"/>
    <n v="3"/>
    <x v="0"/>
    <x v="3"/>
    <x v="7"/>
    <x v="8"/>
    <x v="1"/>
  </r>
  <r>
    <s v="TX501454"/>
    <x v="8"/>
    <x v="1"/>
    <n v="30.6"/>
    <n v="61.2"/>
    <d v="2025-02-24T00:00:00"/>
    <d v="2025-02-27T00:00:00"/>
    <s v="M"/>
    <x v="0"/>
    <n v="5"/>
    <x v="0"/>
    <x v="3"/>
    <x v="2"/>
    <x v="8"/>
    <x v="1"/>
  </r>
  <r>
    <s v="TX501455"/>
    <x v="8"/>
    <x v="1"/>
    <n v="21.3"/>
    <n v="42.6"/>
    <d v="2025-02-24T00:00:00"/>
    <d v="2025-02-25T00:00:00"/>
    <s v="M"/>
    <x v="0"/>
    <n v="3"/>
    <x v="0"/>
    <x v="3"/>
    <x v="3"/>
    <x v="8"/>
    <x v="1"/>
  </r>
  <r>
    <s v="TX501456"/>
    <x v="7"/>
    <x v="0"/>
    <n v="40.799999999999997"/>
    <n v="40.799999999999997"/>
    <d v="2025-02-24T00:00:00"/>
    <d v="2025-02-26T00:00:00"/>
    <s v="F"/>
    <x v="4"/>
    <n v="4"/>
    <x v="0"/>
    <x v="3"/>
    <x v="1"/>
    <x v="8"/>
    <x v="2"/>
  </r>
  <r>
    <s v="TX501457"/>
    <x v="9"/>
    <x v="12"/>
    <n v="27.7"/>
    <n v="110.8"/>
    <d v="2025-02-24T00:00:00"/>
    <d v="2025-02-25T00:00:00"/>
    <s v="F"/>
    <x v="0"/>
    <n v="3"/>
    <x v="0"/>
    <x v="3"/>
    <x v="3"/>
    <x v="8"/>
    <x v="2"/>
  </r>
  <r>
    <s v="TX501458"/>
    <x v="6"/>
    <x v="1"/>
    <n v="64.599999999999994"/>
    <n v="129.19999999999999"/>
    <d v="2025-02-24T00:00:00"/>
    <d v="2025-02-25T00:00:00"/>
    <s v="M"/>
    <x v="0"/>
    <n v="3"/>
    <x v="0"/>
    <x v="3"/>
    <x v="3"/>
    <x v="8"/>
    <x v="1"/>
  </r>
  <r>
    <s v="TX501459"/>
    <x v="6"/>
    <x v="27"/>
    <n v="91.1"/>
    <n v="1457.6"/>
    <d v="2025-02-24T00:00:00"/>
    <d v="2025-02-25T00:00:00"/>
    <s v="F"/>
    <x v="1"/>
    <n v="5"/>
    <x v="0"/>
    <x v="3"/>
    <x v="3"/>
    <x v="8"/>
    <x v="2"/>
  </r>
  <r>
    <s v="TX501460"/>
    <x v="1"/>
    <x v="0"/>
    <n v="39.5"/>
    <n v="39.5"/>
    <d v="2025-02-24T00:00:00"/>
    <d v="2025-03-04T00:00:00"/>
    <s v="F"/>
    <x v="0"/>
    <n v="4"/>
    <x v="0"/>
    <x v="3"/>
    <x v="9"/>
    <x v="8"/>
    <x v="2"/>
  </r>
  <r>
    <s v="TX501461"/>
    <x v="9"/>
    <x v="1"/>
    <n v="21.8"/>
    <n v="43.6"/>
    <d v="2025-02-24T00:00:00"/>
    <d v="2025-02-28T00:00:00"/>
    <s v="M"/>
    <x v="4"/>
    <n v="5"/>
    <x v="0"/>
    <x v="3"/>
    <x v="5"/>
    <x v="8"/>
    <x v="1"/>
  </r>
  <r>
    <s v="TX501462"/>
    <x v="8"/>
    <x v="1"/>
    <n v="51"/>
    <n v="102"/>
    <d v="2025-02-24T00:00:00"/>
    <d v="2025-02-27T00:00:00"/>
    <s v="M"/>
    <x v="3"/>
    <n v="5"/>
    <x v="0"/>
    <x v="3"/>
    <x v="2"/>
    <x v="8"/>
    <x v="1"/>
  </r>
  <r>
    <s v="TX501463"/>
    <x v="2"/>
    <x v="0"/>
    <n v="92.6"/>
    <n v="92.6"/>
    <d v="2025-02-24T00:00:00"/>
    <d v="2025-02-27T00:00:00"/>
    <s v="F"/>
    <x v="0"/>
    <n v="5"/>
    <x v="0"/>
    <x v="35"/>
    <x v="2"/>
    <x v="8"/>
    <x v="2"/>
  </r>
  <r>
    <s v="TX501464"/>
    <x v="9"/>
    <x v="1"/>
    <n v="31.1"/>
    <n v="62.2"/>
    <d v="2025-02-24T00:00:00"/>
    <d v="2025-03-01T00:00:00"/>
    <s v=""/>
    <x v="1"/>
    <n v="1"/>
    <x v="0"/>
    <x v="23"/>
    <x v="0"/>
    <x v="8"/>
    <x v="0"/>
  </r>
  <r>
    <s v="TX501465"/>
    <x v="5"/>
    <x v="2"/>
    <n v="56.4"/>
    <n v="169.2"/>
    <d v="2025-02-24T00:00:00"/>
    <d v="2025-02-25T00:00:00"/>
    <s v=""/>
    <x v="1"/>
    <n v="4"/>
    <x v="0"/>
    <x v="6"/>
    <x v="3"/>
    <x v="8"/>
    <x v="0"/>
  </r>
  <r>
    <s v="TX501466"/>
    <x v="9"/>
    <x v="0"/>
    <n v="41.9"/>
    <n v="41.9"/>
    <d v="2025-02-24T00:00:00"/>
    <d v="2025-02-24T00:00:00"/>
    <s v="M"/>
    <x v="1"/>
    <n v="4"/>
    <x v="0"/>
    <x v="6"/>
    <x v="7"/>
    <x v="8"/>
    <x v="1"/>
  </r>
  <r>
    <s v="TX501467"/>
    <x v="10"/>
    <x v="3"/>
    <n v="45.9"/>
    <n v="321.3"/>
    <d v="2025-02-24T00:00:00"/>
    <d v="2025-02-25T00:00:00"/>
    <s v="M"/>
    <x v="3"/>
    <n v="5"/>
    <x v="0"/>
    <x v="8"/>
    <x v="3"/>
    <x v="8"/>
    <x v="1"/>
  </r>
  <r>
    <s v="TX501468"/>
    <x v="14"/>
    <x v="11"/>
    <n v="24.4"/>
    <n v="219.6"/>
    <d v="2025-02-24T00:00:00"/>
    <d v="2025-02-28T00:00:00"/>
    <s v="M"/>
    <x v="3"/>
    <n v="5"/>
    <x v="0"/>
    <x v="8"/>
    <x v="5"/>
    <x v="8"/>
    <x v="1"/>
  </r>
  <r>
    <s v="TX501469"/>
    <x v="8"/>
    <x v="0"/>
    <n v="18.2"/>
    <n v="18.2"/>
    <d v="2025-02-24T00:00:00"/>
    <d v="2025-02-25T00:00:00"/>
    <s v="F"/>
    <x v="2"/>
    <n v="5"/>
    <x v="0"/>
    <x v="8"/>
    <x v="3"/>
    <x v="8"/>
    <x v="2"/>
  </r>
  <r>
    <s v="TX501470"/>
    <x v="8"/>
    <x v="12"/>
    <n v="51.2"/>
    <n v="204.8"/>
    <d v="2025-02-24T00:00:00"/>
    <d v="2025-02-25T00:00:00"/>
    <s v="F"/>
    <x v="0"/>
    <n v="4"/>
    <x v="0"/>
    <x v="8"/>
    <x v="3"/>
    <x v="8"/>
    <x v="2"/>
  </r>
  <r>
    <s v="TX501471"/>
    <x v="6"/>
    <x v="0"/>
    <n v="59.7"/>
    <n v="59.7"/>
    <d v="2025-02-24T00:00:00"/>
    <d v="2025-02-27T00:00:00"/>
    <s v="M"/>
    <x v="0"/>
    <n v="5"/>
    <x v="0"/>
    <x v="8"/>
    <x v="2"/>
    <x v="8"/>
    <x v="1"/>
  </r>
  <r>
    <s v="TX501472"/>
    <x v="4"/>
    <x v="1"/>
    <n v="33.6"/>
    <n v="67.2"/>
    <d v="2025-02-24T00:00:00"/>
    <d v="2025-02-26T00:00:00"/>
    <s v="F"/>
    <x v="0"/>
    <n v="4"/>
    <x v="0"/>
    <x v="17"/>
    <x v="1"/>
    <x v="8"/>
    <x v="2"/>
  </r>
  <r>
    <s v="TX501473"/>
    <x v="12"/>
    <x v="0"/>
    <n v="90.4"/>
    <n v="90.4"/>
    <d v="2025-02-24T00:00:00"/>
    <d v="2025-02-28T00:00:00"/>
    <s v="M"/>
    <x v="1"/>
    <n v="5"/>
    <x v="0"/>
    <x v="10"/>
    <x v="5"/>
    <x v="8"/>
    <x v="1"/>
  </r>
  <r>
    <s v="TX501474"/>
    <x v="11"/>
    <x v="2"/>
    <n v="70.3"/>
    <n v="210.89999999999998"/>
    <d v="2025-02-24T00:00:00"/>
    <d v="2025-02-24T00:00:00"/>
    <s v="M"/>
    <x v="1"/>
    <n v="5"/>
    <x v="0"/>
    <x v="11"/>
    <x v="7"/>
    <x v="8"/>
    <x v="1"/>
  </r>
  <r>
    <s v="TX501475"/>
    <x v="4"/>
    <x v="1"/>
    <n v="20.5"/>
    <n v="41"/>
    <d v="2025-02-24T00:00:00"/>
    <d v="2025-02-27T00:00:00"/>
    <s v="F"/>
    <x v="0"/>
    <n v="3"/>
    <x v="0"/>
    <x v="11"/>
    <x v="2"/>
    <x v="8"/>
    <x v="2"/>
  </r>
  <r>
    <s v="TX501476"/>
    <x v="5"/>
    <x v="5"/>
    <n v="37.6"/>
    <n v="413.6"/>
    <d v="2025-02-24T00:00:00"/>
    <d v="2025-02-25T00:00:00"/>
    <s v="M"/>
    <x v="0"/>
    <n v="4"/>
    <x v="0"/>
    <x v="38"/>
    <x v="3"/>
    <x v="8"/>
    <x v="1"/>
  </r>
  <r>
    <s v="TX501477"/>
    <x v="5"/>
    <x v="12"/>
    <n v="61.5"/>
    <n v="246"/>
    <d v="2025-02-24T00:00:00"/>
    <d v="2025-03-03T00:00:00"/>
    <s v="F"/>
    <x v="1"/>
    <n v="2"/>
    <x v="0"/>
    <x v="13"/>
    <x v="6"/>
    <x v="8"/>
    <x v="2"/>
  </r>
  <r>
    <s v="TX501478"/>
    <x v="9"/>
    <x v="0"/>
    <n v="33.5"/>
    <n v="33.5"/>
    <d v="2025-02-25T00:00:00"/>
    <d v="2025-03-01T00:00:00"/>
    <s v="M"/>
    <x v="4"/>
    <n v="3"/>
    <x v="0"/>
    <x v="21"/>
    <x v="5"/>
    <x v="8"/>
    <x v="1"/>
  </r>
  <r>
    <s v="TX501479"/>
    <x v="4"/>
    <x v="2"/>
    <n v="29.3"/>
    <n v="87.9"/>
    <d v="2025-02-25T00:00:00"/>
    <d v="2025-02-27T00:00:00"/>
    <s v="F"/>
    <x v="1"/>
    <n v="5"/>
    <x v="0"/>
    <x v="1"/>
    <x v="1"/>
    <x v="8"/>
    <x v="2"/>
  </r>
  <r>
    <s v="TX501480"/>
    <x v="2"/>
    <x v="1"/>
    <n v="125.9"/>
    <n v="251.8"/>
    <d v="2025-02-25T00:00:00"/>
    <d v="2025-03-02T00:00:00"/>
    <s v="F"/>
    <x v="4"/>
    <n v="3"/>
    <x v="0"/>
    <x v="1"/>
    <x v="0"/>
    <x v="8"/>
    <x v="2"/>
  </r>
  <r>
    <s v="TX501481"/>
    <x v="5"/>
    <x v="9"/>
    <n v="29.3"/>
    <n v="146.5"/>
    <d v="2025-02-25T00:00:00"/>
    <d v="2025-02-25T00:00:00"/>
    <s v="M"/>
    <x v="2"/>
    <n v="4"/>
    <x v="0"/>
    <x v="44"/>
    <x v="7"/>
    <x v="8"/>
    <x v="1"/>
  </r>
  <r>
    <s v="TX501482"/>
    <x v="9"/>
    <x v="0"/>
    <n v="37.799999999999997"/>
    <n v="37.799999999999997"/>
    <d v="2025-02-25T00:00:00"/>
    <d v="2025-02-28T00:00:00"/>
    <s v="F"/>
    <x v="0"/>
    <n v="5"/>
    <x v="0"/>
    <x v="3"/>
    <x v="2"/>
    <x v="8"/>
    <x v="2"/>
  </r>
  <r>
    <s v="TX501483"/>
    <x v="0"/>
    <x v="12"/>
    <n v="31.7"/>
    <n v="126.8"/>
    <d v="2025-02-25T00:00:00"/>
    <d v="2025-02-26T00:00:00"/>
    <s v="M"/>
    <x v="2"/>
    <n v="5"/>
    <x v="0"/>
    <x v="3"/>
    <x v="3"/>
    <x v="8"/>
    <x v="1"/>
  </r>
  <r>
    <s v="TX501484"/>
    <x v="8"/>
    <x v="9"/>
    <n v="26.3"/>
    <n v="131.5"/>
    <d v="2025-02-25T00:00:00"/>
    <d v="2025-02-26T00:00:00"/>
    <s v="F"/>
    <x v="3"/>
    <n v="5"/>
    <x v="0"/>
    <x v="3"/>
    <x v="3"/>
    <x v="8"/>
    <x v="2"/>
  </r>
  <r>
    <s v="TX501485"/>
    <x v="8"/>
    <x v="2"/>
    <n v="23.1"/>
    <n v="69.300000000000011"/>
    <d v="2025-02-25T00:00:00"/>
    <d v="2025-02-26T00:00:00"/>
    <s v="O"/>
    <x v="2"/>
    <n v="3"/>
    <x v="0"/>
    <x v="3"/>
    <x v="3"/>
    <x v="8"/>
    <x v="3"/>
  </r>
  <r>
    <s v="TX501486"/>
    <x v="4"/>
    <x v="0"/>
    <n v="22.3"/>
    <n v="22.3"/>
    <d v="2025-02-25T00:00:00"/>
    <d v="2025-02-27T00:00:00"/>
    <s v="F"/>
    <x v="2"/>
    <n v="4"/>
    <x v="0"/>
    <x v="3"/>
    <x v="1"/>
    <x v="8"/>
    <x v="2"/>
  </r>
  <r>
    <s v="TX501487"/>
    <x v="12"/>
    <x v="1"/>
    <n v="99.5"/>
    <n v="199"/>
    <d v="2025-02-25T00:00:00"/>
    <d v="2025-02-27T00:00:00"/>
    <s v="F"/>
    <x v="2"/>
    <n v="4"/>
    <x v="0"/>
    <x v="3"/>
    <x v="1"/>
    <x v="8"/>
    <x v="2"/>
  </r>
  <r>
    <s v="TX501488"/>
    <x v="12"/>
    <x v="12"/>
    <n v="47.4"/>
    <n v="189.6"/>
    <d v="2025-02-25T00:00:00"/>
    <d v="2025-02-28T00:00:00"/>
    <s v="F"/>
    <x v="1"/>
    <n v="4"/>
    <x v="0"/>
    <x v="3"/>
    <x v="2"/>
    <x v="8"/>
    <x v="2"/>
  </r>
  <r>
    <s v="TX501489"/>
    <x v="0"/>
    <x v="5"/>
    <n v="37.5"/>
    <n v="412.5"/>
    <d v="2025-02-25T00:00:00"/>
    <d v="2025-02-27T00:00:00"/>
    <s v="F"/>
    <x v="0"/>
    <n v="1"/>
    <x v="0"/>
    <x v="3"/>
    <x v="1"/>
    <x v="8"/>
    <x v="2"/>
  </r>
  <r>
    <s v="TX501490"/>
    <x v="10"/>
    <x v="0"/>
    <n v="45.1"/>
    <n v="45.1"/>
    <d v="2025-02-25T00:00:00"/>
    <d v="2025-03-02T00:00:00"/>
    <s v="M"/>
    <x v="3"/>
    <n v="5"/>
    <x v="0"/>
    <x v="24"/>
    <x v="0"/>
    <x v="8"/>
    <x v="1"/>
  </r>
  <r>
    <s v="TX501491"/>
    <x v="5"/>
    <x v="7"/>
    <n v="34.4"/>
    <n v="344"/>
    <d v="2025-02-25T00:00:00"/>
    <d v="2025-02-28T00:00:00"/>
    <s v="M"/>
    <x v="2"/>
    <n v="4"/>
    <x v="0"/>
    <x v="16"/>
    <x v="2"/>
    <x v="8"/>
    <x v="1"/>
  </r>
  <r>
    <s v="TX501492"/>
    <x v="4"/>
    <x v="1"/>
    <n v="38"/>
    <n v="76"/>
    <d v="2025-02-25T00:00:00"/>
    <d v="2025-02-27T00:00:00"/>
    <s v="F"/>
    <x v="1"/>
    <n v="4"/>
    <x v="0"/>
    <x v="5"/>
    <x v="1"/>
    <x v="8"/>
    <x v="2"/>
  </r>
  <r>
    <s v="TX501493"/>
    <x v="3"/>
    <x v="21"/>
    <n v="32.4"/>
    <n v="453.59999999999997"/>
    <d v="2025-02-25T00:00:00"/>
    <d v="2025-02-28T00:00:00"/>
    <s v="M"/>
    <x v="4"/>
    <n v="4"/>
    <x v="0"/>
    <x v="6"/>
    <x v="2"/>
    <x v="8"/>
    <x v="1"/>
  </r>
  <r>
    <s v="TX501494"/>
    <x v="6"/>
    <x v="2"/>
    <n v="40.9"/>
    <n v="122.69999999999999"/>
    <d v="2025-02-25T00:00:00"/>
    <d v="2025-02-25T00:00:00"/>
    <s v=""/>
    <x v="1"/>
    <n v="4"/>
    <x v="0"/>
    <x v="8"/>
    <x v="7"/>
    <x v="8"/>
    <x v="0"/>
  </r>
  <r>
    <s v="TX501495"/>
    <x v="7"/>
    <x v="3"/>
    <n v="76.2"/>
    <n v="533.4"/>
    <d v="2025-02-25T00:00:00"/>
    <d v="2025-02-27T00:00:00"/>
    <s v="F"/>
    <x v="2"/>
    <n v="3"/>
    <x v="0"/>
    <x v="8"/>
    <x v="1"/>
    <x v="8"/>
    <x v="2"/>
  </r>
  <r>
    <s v="TX501496"/>
    <x v="2"/>
    <x v="0"/>
    <n v="85.6"/>
    <n v="85.6"/>
    <d v="2025-02-25T00:00:00"/>
    <d v="2025-02-27T00:00:00"/>
    <s v="M"/>
    <x v="2"/>
    <n v="4"/>
    <x v="0"/>
    <x v="8"/>
    <x v="1"/>
    <x v="8"/>
    <x v="1"/>
  </r>
  <r>
    <s v="TX501497"/>
    <x v="4"/>
    <x v="12"/>
    <n v="25"/>
    <n v="100"/>
    <d v="2025-02-25T00:00:00"/>
    <d v="2025-02-27T00:00:00"/>
    <s v="F"/>
    <x v="2"/>
    <n v="5"/>
    <x v="0"/>
    <x v="8"/>
    <x v="1"/>
    <x v="8"/>
    <x v="2"/>
  </r>
  <r>
    <s v="TX501498"/>
    <x v="2"/>
    <x v="9"/>
    <n v="150.69999999999999"/>
    <n v="753.5"/>
    <d v="2025-02-25T00:00:00"/>
    <d v="2025-02-26T00:00:00"/>
    <s v=""/>
    <x v="0"/>
    <n v="5"/>
    <x v="0"/>
    <x v="8"/>
    <x v="3"/>
    <x v="8"/>
    <x v="0"/>
  </r>
  <r>
    <s v="TX501499"/>
    <x v="8"/>
    <x v="0"/>
    <n v="19.600000000000001"/>
    <n v="19.600000000000001"/>
    <d v="2025-02-25T00:00:00"/>
    <d v="2025-02-26T00:00:00"/>
    <s v="M"/>
    <x v="1"/>
    <n v="2"/>
    <x v="0"/>
    <x v="8"/>
    <x v="3"/>
    <x v="8"/>
    <x v="1"/>
  </r>
  <r>
    <s v="TX501500"/>
    <x v="13"/>
    <x v="1"/>
    <n v="37.5"/>
    <n v="75"/>
    <d v="2025-02-25T00:00:00"/>
    <d v="2025-02-28T00:00:00"/>
    <s v="F"/>
    <x v="1"/>
    <n v="5"/>
    <x v="0"/>
    <x v="17"/>
    <x v="2"/>
    <x v="8"/>
    <x v="2"/>
  </r>
  <r>
    <s v="TX501501"/>
    <x v="9"/>
    <x v="2"/>
    <n v="51.9"/>
    <n v="155.69999999999999"/>
    <d v="2025-02-25T00:00:00"/>
    <d v="2025-03-03T00:00:00"/>
    <s v="F"/>
    <x v="0"/>
    <n v="2"/>
    <x v="0"/>
    <x v="11"/>
    <x v="4"/>
    <x v="8"/>
    <x v="2"/>
  </r>
  <r>
    <s v="TX501502"/>
    <x v="1"/>
    <x v="1"/>
    <n v="30.9"/>
    <n v="61.8"/>
    <d v="2025-02-25T00:00:00"/>
    <d v="2025-02-27T00:00:00"/>
    <s v="F"/>
    <x v="1"/>
    <n v="4"/>
    <x v="0"/>
    <x v="18"/>
    <x v="1"/>
    <x v="8"/>
    <x v="2"/>
  </r>
  <r>
    <s v="TX501503"/>
    <x v="4"/>
    <x v="2"/>
    <n v="21.2"/>
    <n v="63.599999999999994"/>
    <d v="2025-02-25T00:00:00"/>
    <d v="2025-02-28T00:00:00"/>
    <s v="F"/>
    <x v="1"/>
    <n v="4"/>
    <x v="0"/>
    <x v="19"/>
    <x v="2"/>
    <x v="8"/>
    <x v="2"/>
  </r>
  <r>
    <s v="TX501504"/>
    <x v="13"/>
    <x v="14"/>
    <n v="17.5"/>
    <n v="297.5"/>
    <d v="2025-02-25T00:00:00"/>
    <d v="2025-02-26T00:00:00"/>
    <s v="M"/>
    <x v="1"/>
    <n v="3"/>
    <x v="0"/>
    <x v="13"/>
    <x v="3"/>
    <x v="8"/>
    <x v="1"/>
  </r>
  <r>
    <s v="TX501505"/>
    <x v="12"/>
    <x v="1"/>
    <n v="53.8"/>
    <n v="107.6"/>
    <d v="2025-02-25T00:00:00"/>
    <d v="2025-03-02T00:00:00"/>
    <s v="F"/>
    <x v="0"/>
    <n v="5"/>
    <x v="0"/>
    <x v="21"/>
    <x v="0"/>
    <x v="8"/>
    <x v="2"/>
  </r>
  <r>
    <s v="TX501506"/>
    <x v="19"/>
    <x v="1"/>
    <n v="17"/>
    <n v="34"/>
    <d v="2025-02-25T00:00:00"/>
    <d v="2025-02-26T00:00:00"/>
    <s v="M"/>
    <x v="3"/>
    <n v="4"/>
    <x v="0"/>
    <x v="21"/>
    <x v="3"/>
    <x v="8"/>
    <x v="1"/>
  </r>
  <r>
    <s v="TX501507"/>
    <x v="6"/>
    <x v="0"/>
    <n v="103.2"/>
    <n v="103.2"/>
    <d v="2025-02-25T00:00:00"/>
    <d v="2025-03-05T00:00:00"/>
    <s v="M"/>
    <x v="2"/>
    <n v="3"/>
    <x v="0"/>
    <x v="1"/>
    <x v="9"/>
    <x v="8"/>
    <x v="1"/>
  </r>
  <r>
    <s v="TX501508"/>
    <x v="6"/>
    <x v="12"/>
    <n v="70.3"/>
    <n v="281.2"/>
    <d v="2025-02-25T00:00:00"/>
    <d v="2025-02-26T00:00:00"/>
    <s v="M"/>
    <x v="0"/>
    <n v="4"/>
    <x v="0"/>
    <x v="3"/>
    <x v="3"/>
    <x v="8"/>
    <x v="1"/>
  </r>
  <r>
    <s v="TX501509"/>
    <x v="2"/>
    <x v="1"/>
    <n v="73.8"/>
    <n v="147.6"/>
    <d v="2025-02-25T00:00:00"/>
    <d v="2025-02-25T00:00:00"/>
    <s v="M"/>
    <x v="3"/>
    <n v="5"/>
    <x v="0"/>
    <x v="3"/>
    <x v="7"/>
    <x v="8"/>
    <x v="1"/>
  </r>
  <r>
    <s v="TX501510"/>
    <x v="1"/>
    <x v="4"/>
    <n v="67.7"/>
    <n v="812.40000000000009"/>
    <d v="2025-02-25T00:00:00"/>
    <d v="2025-03-01T00:00:00"/>
    <s v="M"/>
    <x v="1"/>
    <n v="3"/>
    <x v="0"/>
    <x v="3"/>
    <x v="5"/>
    <x v="8"/>
    <x v="1"/>
  </r>
  <r>
    <s v="TX501511"/>
    <x v="13"/>
    <x v="3"/>
    <n v="43.8"/>
    <n v="306.59999999999997"/>
    <d v="2025-02-25T00:00:00"/>
    <d v="2025-02-27T00:00:00"/>
    <s v="M"/>
    <x v="1"/>
    <n v="4"/>
    <x v="0"/>
    <x v="3"/>
    <x v="1"/>
    <x v="8"/>
    <x v="1"/>
  </r>
  <r>
    <s v="TX501512"/>
    <x v="17"/>
    <x v="13"/>
    <n v="71.900000000000006"/>
    <n v="431.40000000000003"/>
    <d v="2025-02-25T00:00:00"/>
    <d v="2025-02-26T00:00:00"/>
    <s v="F"/>
    <x v="2"/>
    <n v="4"/>
    <x v="0"/>
    <x v="3"/>
    <x v="3"/>
    <x v="8"/>
    <x v="2"/>
  </r>
  <r>
    <s v="TX501513"/>
    <x v="8"/>
    <x v="1"/>
    <n v="26.3"/>
    <n v="52.6"/>
    <d v="2025-02-26T00:00:00"/>
    <d v="2025-02-28T00:00:00"/>
    <s v="F"/>
    <x v="0"/>
    <n v="3"/>
    <x v="0"/>
    <x v="3"/>
    <x v="1"/>
    <x v="8"/>
    <x v="2"/>
  </r>
  <r>
    <s v="TX501514"/>
    <x v="6"/>
    <x v="12"/>
    <n v="52.6"/>
    <n v="210.4"/>
    <d v="2025-02-26T00:00:00"/>
    <d v="2025-02-28T00:00:00"/>
    <s v="F"/>
    <x v="2"/>
    <n v="3"/>
    <x v="0"/>
    <x v="3"/>
    <x v="1"/>
    <x v="8"/>
    <x v="2"/>
  </r>
  <r>
    <s v="TX501515"/>
    <x v="10"/>
    <x v="0"/>
    <n v="32.700000000000003"/>
    <n v="32.700000000000003"/>
    <d v="2025-02-26T00:00:00"/>
    <d v="2025-03-05T00:00:00"/>
    <s v="F"/>
    <x v="0"/>
    <n v="5"/>
    <x v="0"/>
    <x v="3"/>
    <x v="6"/>
    <x v="8"/>
    <x v="2"/>
  </r>
  <r>
    <s v="TX501516"/>
    <x v="5"/>
    <x v="12"/>
    <n v="38.9"/>
    <n v="155.6"/>
    <d v="2025-02-26T00:00:00"/>
    <d v="2025-02-27T00:00:00"/>
    <s v="F"/>
    <x v="0"/>
    <n v="4"/>
    <x v="0"/>
    <x v="3"/>
    <x v="3"/>
    <x v="8"/>
    <x v="2"/>
  </r>
  <r>
    <s v="TX501517"/>
    <x v="9"/>
    <x v="9"/>
    <n v="35"/>
    <n v="175"/>
    <d v="2025-02-26T00:00:00"/>
    <d v="2025-02-28T00:00:00"/>
    <s v="M"/>
    <x v="0"/>
    <n v="4"/>
    <x v="0"/>
    <x v="3"/>
    <x v="1"/>
    <x v="8"/>
    <x v="1"/>
  </r>
  <r>
    <s v="TX501518"/>
    <x v="2"/>
    <x v="1"/>
    <n v="121"/>
    <n v="242"/>
    <d v="2025-02-26T00:00:00"/>
    <d v="2025-02-27T00:00:00"/>
    <s v="F"/>
    <x v="1"/>
    <n v="3"/>
    <x v="0"/>
    <x v="3"/>
    <x v="3"/>
    <x v="8"/>
    <x v="2"/>
  </r>
  <r>
    <s v="TX501519"/>
    <x v="6"/>
    <x v="2"/>
    <n v="65.099999999999994"/>
    <n v="195.29999999999998"/>
    <d v="2025-02-26T00:00:00"/>
    <d v="2025-03-02T00:00:00"/>
    <s v="M"/>
    <x v="2"/>
    <n v="4"/>
    <x v="0"/>
    <x v="36"/>
    <x v="5"/>
    <x v="8"/>
    <x v="1"/>
  </r>
  <r>
    <s v="TX501520"/>
    <x v="1"/>
    <x v="38"/>
    <n v="63.8"/>
    <n v="1339.8"/>
    <d v="2025-02-26T00:00:00"/>
    <d v="2025-02-28T00:00:00"/>
    <s v="F"/>
    <x v="0"/>
    <n v="4"/>
    <x v="0"/>
    <x v="8"/>
    <x v="1"/>
    <x v="8"/>
    <x v="2"/>
  </r>
  <r>
    <s v="TX501521"/>
    <x v="7"/>
    <x v="0"/>
    <n v="77.7"/>
    <n v="77.7"/>
    <d v="2025-02-26T00:00:00"/>
    <d v="2025-02-28T00:00:00"/>
    <s v="M"/>
    <x v="0"/>
    <n v="4"/>
    <x v="0"/>
    <x v="8"/>
    <x v="1"/>
    <x v="8"/>
    <x v="1"/>
  </r>
  <r>
    <s v="TX501522"/>
    <x v="5"/>
    <x v="12"/>
    <n v="60.3"/>
    <n v="241.2"/>
    <d v="2025-02-26T00:00:00"/>
    <d v="2025-02-26T00:00:00"/>
    <s v="M"/>
    <x v="0"/>
    <n v="5"/>
    <x v="0"/>
    <x v="8"/>
    <x v="7"/>
    <x v="8"/>
    <x v="1"/>
  </r>
  <r>
    <s v="TX501523"/>
    <x v="5"/>
    <x v="1"/>
    <n v="124.1"/>
    <n v="248.2"/>
    <d v="2025-02-26T00:00:00"/>
    <d v="2025-03-01T00:00:00"/>
    <s v="F"/>
    <x v="0"/>
    <n v="5"/>
    <x v="0"/>
    <x v="8"/>
    <x v="2"/>
    <x v="8"/>
    <x v="2"/>
  </r>
  <r>
    <s v="TX501524"/>
    <x v="16"/>
    <x v="3"/>
    <n v="66"/>
    <n v="462"/>
    <d v="2025-02-26T00:00:00"/>
    <d v="2025-02-26T00:00:00"/>
    <s v=""/>
    <x v="3"/>
    <n v="4"/>
    <x v="0"/>
    <x v="17"/>
    <x v="7"/>
    <x v="8"/>
    <x v="0"/>
  </r>
  <r>
    <s v="TX501525"/>
    <x v="2"/>
    <x v="42"/>
    <n v="118.2"/>
    <n v="7446.6"/>
    <d v="2025-02-26T00:00:00"/>
    <d v="2025-03-03T00:00:00"/>
    <s v=""/>
    <x v="0"/>
    <n v="4"/>
    <x v="0"/>
    <x v="17"/>
    <x v="0"/>
    <x v="8"/>
    <x v="0"/>
  </r>
  <r>
    <s v="TX501526"/>
    <x v="5"/>
    <x v="9"/>
    <n v="64.3"/>
    <n v="321.5"/>
    <d v="2025-02-26T00:00:00"/>
    <d v="2025-02-27T00:00:00"/>
    <s v="M"/>
    <x v="4"/>
    <n v="2"/>
    <x v="0"/>
    <x v="26"/>
    <x v="3"/>
    <x v="8"/>
    <x v="1"/>
  </r>
  <r>
    <s v="TX501527"/>
    <x v="1"/>
    <x v="1"/>
    <n v="54.8"/>
    <n v="109.6"/>
    <d v="2025-02-26T00:00:00"/>
    <d v="2025-02-26T00:00:00"/>
    <s v="M"/>
    <x v="0"/>
    <n v="3"/>
    <x v="0"/>
    <x v="26"/>
    <x v="7"/>
    <x v="8"/>
    <x v="1"/>
  </r>
  <r>
    <s v="TX501528"/>
    <x v="7"/>
    <x v="1"/>
    <n v="78.599999999999994"/>
    <n v="157.19999999999999"/>
    <d v="2025-02-26T00:00:00"/>
    <d v="2025-02-27T00:00:00"/>
    <s v="M"/>
    <x v="0"/>
    <n v="5"/>
    <x v="0"/>
    <x v="9"/>
    <x v="3"/>
    <x v="8"/>
    <x v="1"/>
  </r>
  <r>
    <s v="TX501529"/>
    <x v="2"/>
    <x v="9"/>
    <n v="158.5"/>
    <n v="792.5"/>
    <d v="2025-02-26T00:00:00"/>
    <d v="2025-02-28T00:00:00"/>
    <s v=""/>
    <x v="2"/>
    <n v="5"/>
    <x v="0"/>
    <x v="9"/>
    <x v="1"/>
    <x v="8"/>
    <x v="0"/>
  </r>
  <r>
    <s v="TX501530"/>
    <x v="4"/>
    <x v="7"/>
    <n v="23.5"/>
    <n v="235"/>
    <d v="2025-02-26T00:00:00"/>
    <d v="2025-03-01T00:00:00"/>
    <s v="M"/>
    <x v="0"/>
    <n v="2"/>
    <x v="0"/>
    <x v="10"/>
    <x v="2"/>
    <x v="8"/>
    <x v="1"/>
  </r>
  <r>
    <s v="TX501531"/>
    <x v="5"/>
    <x v="1"/>
    <n v="32.1"/>
    <n v="64.2"/>
    <d v="2025-02-26T00:00:00"/>
    <d v="2025-02-28T00:00:00"/>
    <s v=""/>
    <x v="3"/>
    <n v="4"/>
    <x v="0"/>
    <x v="10"/>
    <x v="1"/>
    <x v="8"/>
    <x v="0"/>
  </r>
  <r>
    <s v="TX501532"/>
    <x v="17"/>
    <x v="12"/>
    <n v="71.900000000000006"/>
    <n v="287.60000000000002"/>
    <d v="2025-02-26T00:00:00"/>
    <d v="2025-02-26T00:00:00"/>
    <s v="M"/>
    <x v="2"/>
    <n v="4"/>
    <x v="0"/>
    <x v="19"/>
    <x v="7"/>
    <x v="8"/>
    <x v="1"/>
  </r>
  <r>
    <s v="TX501533"/>
    <x v="4"/>
    <x v="13"/>
    <n v="22.3"/>
    <n v="133.80000000000001"/>
    <d v="2025-02-26T00:00:00"/>
    <d v="2025-02-27T00:00:00"/>
    <s v=""/>
    <x v="3"/>
    <n v="5"/>
    <x v="0"/>
    <x v="13"/>
    <x v="3"/>
    <x v="8"/>
    <x v="0"/>
  </r>
  <r>
    <s v="TX501534"/>
    <x v="11"/>
    <x v="1"/>
    <n v="29.5"/>
    <n v="59"/>
    <d v="2025-02-26T00:00:00"/>
    <d v="2025-02-27T00:00:00"/>
    <s v="F"/>
    <x v="0"/>
    <n v="5"/>
    <x v="0"/>
    <x v="13"/>
    <x v="3"/>
    <x v="8"/>
    <x v="2"/>
  </r>
  <r>
    <s v="TX501535"/>
    <x v="6"/>
    <x v="12"/>
    <n v="41.9"/>
    <n v="167.6"/>
    <d v="2025-02-26T00:00:00"/>
    <d v="2025-03-02T00:00:00"/>
    <s v="F"/>
    <x v="0"/>
    <n v="3"/>
    <x v="0"/>
    <x v="21"/>
    <x v="5"/>
    <x v="8"/>
    <x v="2"/>
  </r>
  <r>
    <s v="TX501536"/>
    <x v="6"/>
    <x v="2"/>
    <n v="107.8"/>
    <n v="323.39999999999998"/>
    <d v="2025-02-26T00:00:00"/>
    <d v="2025-02-27T00:00:00"/>
    <s v="M"/>
    <x v="1"/>
    <n v="5"/>
    <x v="0"/>
    <x v="46"/>
    <x v="3"/>
    <x v="8"/>
    <x v="1"/>
  </r>
  <r>
    <s v="TX501537"/>
    <x v="4"/>
    <x v="9"/>
    <n v="18.100000000000001"/>
    <n v="90.5"/>
    <d v="2025-02-26T00:00:00"/>
    <d v="2025-03-01T00:00:00"/>
    <s v="M"/>
    <x v="0"/>
    <n v="5"/>
    <x v="0"/>
    <x v="2"/>
    <x v="2"/>
    <x v="8"/>
    <x v="1"/>
  </r>
  <r>
    <s v="TX501538"/>
    <x v="12"/>
    <x v="11"/>
    <n v="79.8"/>
    <n v="718.19999999999993"/>
    <d v="2025-02-26T00:00:00"/>
    <d v="2025-02-27T00:00:00"/>
    <s v="F"/>
    <x v="1"/>
    <n v="3"/>
    <x v="0"/>
    <x v="22"/>
    <x v="3"/>
    <x v="8"/>
    <x v="2"/>
  </r>
  <r>
    <s v="TX501539"/>
    <x v="0"/>
    <x v="2"/>
    <n v="22.3"/>
    <n v="66.900000000000006"/>
    <d v="2025-02-26T00:00:00"/>
    <d v="2025-03-01T00:00:00"/>
    <s v="F"/>
    <x v="0"/>
    <n v="5"/>
    <x v="0"/>
    <x v="22"/>
    <x v="2"/>
    <x v="8"/>
    <x v="2"/>
  </r>
  <r>
    <s v="TX501540"/>
    <x v="8"/>
    <x v="0"/>
    <n v="22.9"/>
    <n v="22.9"/>
    <d v="2025-02-26T00:00:00"/>
    <d v="2025-02-26T00:00:00"/>
    <s v="F"/>
    <x v="1"/>
    <n v="4"/>
    <x v="0"/>
    <x v="22"/>
    <x v="7"/>
    <x v="8"/>
    <x v="2"/>
  </r>
  <r>
    <s v="TX501541"/>
    <x v="0"/>
    <x v="2"/>
    <n v="16.2"/>
    <n v="48.599999999999994"/>
    <d v="2025-02-27T00:00:00"/>
    <d v="2025-02-27T00:00:00"/>
    <s v="M"/>
    <x v="4"/>
    <n v="5"/>
    <x v="0"/>
    <x v="3"/>
    <x v="7"/>
    <x v="8"/>
    <x v="1"/>
  </r>
  <r>
    <s v="TX501542"/>
    <x v="10"/>
    <x v="12"/>
    <n v="59.5"/>
    <n v="238"/>
    <d v="2025-02-27T00:00:00"/>
    <d v="2025-02-28T00:00:00"/>
    <s v="M"/>
    <x v="1"/>
    <n v="5"/>
    <x v="0"/>
    <x v="3"/>
    <x v="3"/>
    <x v="8"/>
    <x v="1"/>
  </r>
  <r>
    <s v="TX501543"/>
    <x v="18"/>
    <x v="9"/>
    <n v="26.2"/>
    <n v="131"/>
    <d v="2025-02-27T00:00:00"/>
    <d v="2025-03-02T00:00:00"/>
    <s v="M"/>
    <x v="3"/>
    <n v="2"/>
    <x v="0"/>
    <x v="3"/>
    <x v="2"/>
    <x v="8"/>
    <x v="1"/>
  </r>
  <r>
    <s v="TX501544"/>
    <x v="3"/>
    <x v="0"/>
    <n v="44.2"/>
    <n v="44.2"/>
    <d v="2025-02-27T00:00:00"/>
    <d v="2025-03-02T00:00:00"/>
    <s v="F"/>
    <x v="1"/>
    <n v="4"/>
    <x v="0"/>
    <x v="3"/>
    <x v="2"/>
    <x v="8"/>
    <x v="2"/>
  </r>
  <r>
    <s v="TX501545"/>
    <x v="9"/>
    <x v="1"/>
    <n v="59.2"/>
    <n v="118.4"/>
    <d v="2025-02-27T00:00:00"/>
    <d v="2025-02-27T00:00:00"/>
    <s v="F"/>
    <x v="1"/>
    <n v="2"/>
    <x v="0"/>
    <x v="3"/>
    <x v="7"/>
    <x v="8"/>
    <x v="2"/>
  </r>
  <r>
    <s v="TX501546"/>
    <x v="15"/>
    <x v="12"/>
    <n v="41.5"/>
    <n v="166"/>
    <d v="2025-02-27T00:00:00"/>
    <d v="2025-03-01T00:00:00"/>
    <s v="F"/>
    <x v="0"/>
    <n v="4"/>
    <x v="0"/>
    <x v="16"/>
    <x v="1"/>
    <x v="8"/>
    <x v="2"/>
  </r>
  <r>
    <s v="TX501547"/>
    <x v="6"/>
    <x v="4"/>
    <n v="67.099999999999994"/>
    <n v="805.19999999999993"/>
    <d v="2025-02-27T00:00:00"/>
    <d v="2025-03-13T00:00:00"/>
    <s v="F"/>
    <x v="0"/>
    <n v="5"/>
    <x v="0"/>
    <x v="23"/>
    <x v="12"/>
    <x v="8"/>
    <x v="2"/>
  </r>
  <r>
    <s v="TX501548"/>
    <x v="8"/>
    <x v="1"/>
    <n v="28.7"/>
    <n v="57.4"/>
    <d v="2025-02-27T00:00:00"/>
    <d v="2025-03-03T00:00:00"/>
    <s v="F"/>
    <x v="1"/>
    <n v="4"/>
    <x v="0"/>
    <x v="6"/>
    <x v="5"/>
    <x v="8"/>
    <x v="2"/>
  </r>
  <r>
    <s v="TX501549"/>
    <x v="2"/>
    <x v="12"/>
    <n v="132.1"/>
    <n v="528.4"/>
    <d v="2025-02-27T00:00:00"/>
    <d v="2025-02-28T00:00:00"/>
    <s v="F"/>
    <x v="0"/>
    <n v="3"/>
    <x v="0"/>
    <x v="6"/>
    <x v="3"/>
    <x v="8"/>
    <x v="2"/>
  </r>
  <r>
    <s v="TX501550"/>
    <x v="18"/>
    <x v="1"/>
    <n v="47"/>
    <n v="94"/>
    <d v="2025-02-27T00:00:00"/>
    <d v="2025-03-01T00:00:00"/>
    <s v="M"/>
    <x v="4"/>
    <n v="4"/>
    <x v="0"/>
    <x v="8"/>
    <x v="1"/>
    <x v="8"/>
    <x v="1"/>
  </r>
  <r>
    <s v="TX501551"/>
    <x v="8"/>
    <x v="1"/>
    <n v="41.6"/>
    <n v="83.2"/>
    <d v="2025-02-27T00:00:00"/>
    <d v="2025-03-03T00:00:00"/>
    <s v="M"/>
    <x v="1"/>
    <n v="5"/>
    <x v="0"/>
    <x v="8"/>
    <x v="5"/>
    <x v="8"/>
    <x v="1"/>
  </r>
  <r>
    <s v="TX501552"/>
    <x v="8"/>
    <x v="43"/>
    <n v="17.3"/>
    <n v="657.4"/>
    <d v="2025-02-27T00:00:00"/>
    <d v="2025-03-01T00:00:00"/>
    <s v="M"/>
    <x v="2"/>
    <n v="5"/>
    <x v="0"/>
    <x v="8"/>
    <x v="1"/>
    <x v="8"/>
    <x v="1"/>
  </r>
  <r>
    <s v="TX501553"/>
    <x v="13"/>
    <x v="2"/>
    <n v="41.8"/>
    <n v="125.39999999999999"/>
    <d v="2025-02-27T00:00:00"/>
    <d v="2025-03-02T00:00:00"/>
    <s v="M"/>
    <x v="0"/>
    <n v="5"/>
    <x v="0"/>
    <x v="8"/>
    <x v="2"/>
    <x v="8"/>
    <x v="1"/>
  </r>
  <r>
    <s v="TX501554"/>
    <x v="10"/>
    <x v="0"/>
    <n v="24"/>
    <n v="24"/>
    <d v="2025-02-27T00:00:00"/>
    <d v="2025-02-28T00:00:00"/>
    <s v="F"/>
    <x v="0"/>
    <n v="4"/>
    <x v="0"/>
    <x v="17"/>
    <x v="3"/>
    <x v="8"/>
    <x v="2"/>
  </r>
  <r>
    <s v="TX501555"/>
    <x v="14"/>
    <x v="11"/>
    <n v="18.5"/>
    <n v="166.5"/>
    <d v="2025-02-27T00:00:00"/>
    <d v="2025-03-01T00:00:00"/>
    <s v="F"/>
    <x v="0"/>
    <n v="4"/>
    <x v="0"/>
    <x v="9"/>
    <x v="1"/>
    <x v="8"/>
    <x v="2"/>
  </r>
  <r>
    <s v="TX501556"/>
    <x v="3"/>
    <x v="4"/>
    <n v="66.7"/>
    <n v="800.40000000000009"/>
    <d v="2025-02-27T00:00:00"/>
    <d v="2025-03-02T00:00:00"/>
    <s v=""/>
    <x v="0"/>
    <n v="5"/>
    <x v="0"/>
    <x v="11"/>
    <x v="2"/>
    <x v="8"/>
    <x v="0"/>
  </r>
  <r>
    <s v="TX501557"/>
    <x v="1"/>
    <x v="12"/>
    <n v="33.1"/>
    <n v="132.4"/>
    <d v="2025-02-27T00:00:00"/>
    <d v="2025-03-04T00:00:00"/>
    <s v="M"/>
    <x v="3"/>
    <n v="4"/>
    <x v="0"/>
    <x v="11"/>
    <x v="0"/>
    <x v="8"/>
    <x v="1"/>
  </r>
  <r>
    <s v="TX501558"/>
    <x v="19"/>
    <x v="11"/>
    <n v="42.1"/>
    <n v="378.90000000000003"/>
    <d v="2025-02-27T00:00:00"/>
    <d v="2025-03-10T00:00:00"/>
    <s v="M"/>
    <x v="1"/>
    <n v="4"/>
    <x v="0"/>
    <x v="18"/>
    <x v="11"/>
    <x v="8"/>
    <x v="1"/>
  </r>
  <r>
    <s v="TX501559"/>
    <x v="18"/>
    <x v="3"/>
    <n v="58.7"/>
    <n v="410.90000000000003"/>
    <d v="2025-02-27T00:00:00"/>
    <d v="2025-02-27T00:00:00"/>
    <s v="O"/>
    <x v="3"/>
    <n v="4"/>
    <x v="0"/>
    <x v="31"/>
    <x v="7"/>
    <x v="8"/>
    <x v="3"/>
  </r>
  <r>
    <s v="TX501560"/>
    <x v="6"/>
    <x v="12"/>
    <n v="54"/>
    <n v="216"/>
    <d v="2025-02-27T00:00:00"/>
    <d v="2025-03-01T00:00:00"/>
    <s v="F"/>
    <x v="1"/>
    <n v="4"/>
    <x v="0"/>
    <x v="1"/>
    <x v="1"/>
    <x v="8"/>
    <x v="2"/>
  </r>
  <r>
    <s v="TX501561"/>
    <x v="8"/>
    <x v="0"/>
    <n v="52.1"/>
    <n v="52.1"/>
    <d v="2025-02-27T00:00:00"/>
    <d v="2025-02-28T00:00:00"/>
    <s v="F"/>
    <x v="2"/>
    <n v="5"/>
    <x v="0"/>
    <x v="2"/>
    <x v="3"/>
    <x v="8"/>
    <x v="2"/>
  </r>
  <r>
    <s v="TX501562"/>
    <x v="19"/>
    <x v="1"/>
    <n v="27"/>
    <n v="54"/>
    <d v="2025-02-27T00:00:00"/>
    <d v="2025-03-02T00:00:00"/>
    <s v="O"/>
    <x v="2"/>
    <n v="4"/>
    <x v="0"/>
    <x v="22"/>
    <x v="2"/>
    <x v="8"/>
    <x v="3"/>
  </r>
  <r>
    <s v="TX501563"/>
    <x v="12"/>
    <x v="7"/>
    <n v="31"/>
    <n v="310"/>
    <d v="2025-02-28T00:00:00"/>
    <d v="2025-03-01T00:00:00"/>
    <s v="F"/>
    <x v="3"/>
    <n v="5"/>
    <x v="0"/>
    <x v="22"/>
    <x v="3"/>
    <x v="8"/>
    <x v="2"/>
  </r>
  <r>
    <s v="TX501564"/>
    <x v="10"/>
    <x v="1"/>
    <n v="46.7"/>
    <n v="93.4"/>
    <d v="2025-02-28T00:00:00"/>
    <d v="2025-02-28T00:00:00"/>
    <s v="F"/>
    <x v="0"/>
    <n v="4"/>
    <x v="0"/>
    <x v="34"/>
    <x v="7"/>
    <x v="8"/>
    <x v="2"/>
  </r>
  <r>
    <s v="TX501565"/>
    <x v="6"/>
    <x v="0"/>
    <n v="144.69999999999999"/>
    <n v="144.69999999999999"/>
    <d v="2025-02-28T00:00:00"/>
    <d v="2025-03-03T00:00:00"/>
    <s v="M"/>
    <x v="0"/>
    <n v="5"/>
    <x v="0"/>
    <x v="3"/>
    <x v="2"/>
    <x v="8"/>
    <x v="1"/>
  </r>
  <r>
    <s v="TX501566"/>
    <x v="2"/>
    <x v="11"/>
    <n v="90.9"/>
    <n v="818.1"/>
    <d v="2025-02-28T00:00:00"/>
    <d v="2025-03-01T00:00:00"/>
    <s v="M"/>
    <x v="0"/>
    <n v="5"/>
    <x v="0"/>
    <x v="3"/>
    <x v="3"/>
    <x v="8"/>
    <x v="1"/>
  </r>
  <r>
    <s v="TX501567"/>
    <x v="1"/>
    <x v="1"/>
    <n v="75.8"/>
    <n v="151.6"/>
    <d v="2025-02-28T00:00:00"/>
    <d v="2025-03-01T00:00:00"/>
    <s v="F"/>
    <x v="2"/>
    <n v="3"/>
    <x v="0"/>
    <x v="3"/>
    <x v="3"/>
    <x v="8"/>
    <x v="2"/>
  </r>
  <r>
    <s v="TX501568"/>
    <x v="7"/>
    <x v="9"/>
    <n v="57.9"/>
    <n v="289.5"/>
    <d v="2025-02-28T00:00:00"/>
    <d v="2025-03-02T00:00:00"/>
    <s v="M"/>
    <x v="2"/>
    <n v="5"/>
    <x v="0"/>
    <x v="3"/>
    <x v="1"/>
    <x v="8"/>
    <x v="1"/>
  </r>
  <r>
    <s v="TX501569"/>
    <x v="8"/>
    <x v="9"/>
    <n v="44.8"/>
    <n v="224"/>
    <d v="2025-02-28T00:00:00"/>
    <d v="2025-03-01T00:00:00"/>
    <s v="F"/>
    <x v="3"/>
    <n v="5"/>
    <x v="0"/>
    <x v="3"/>
    <x v="3"/>
    <x v="8"/>
    <x v="2"/>
  </r>
  <r>
    <s v="TX501570"/>
    <x v="9"/>
    <x v="2"/>
    <n v="44.2"/>
    <n v="132.60000000000002"/>
    <d v="2025-02-28T00:00:00"/>
    <d v="2025-03-04T00:00:00"/>
    <s v="M"/>
    <x v="2"/>
    <n v="5"/>
    <x v="0"/>
    <x v="3"/>
    <x v="5"/>
    <x v="8"/>
    <x v="1"/>
  </r>
  <r>
    <s v="TX501571"/>
    <x v="5"/>
    <x v="9"/>
    <n v="53.5"/>
    <n v="267.5"/>
    <d v="2025-02-28T00:00:00"/>
    <d v="2025-03-02T00:00:00"/>
    <s v="M"/>
    <x v="0"/>
    <n v="4"/>
    <x v="0"/>
    <x v="37"/>
    <x v="1"/>
    <x v="8"/>
    <x v="1"/>
  </r>
  <r>
    <s v="TX501572"/>
    <x v="6"/>
    <x v="1"/>
    <n v="72.2"/>
    <n v="144.4"/>
    <d v="2025-02-28T00:00:00"/>
    <d v="2025-03-01T00:00:00"/>
    <s v="M"/>
    <x v="0"/>
    <n v="5"/>
    <x v="0"/>
    <x v="25"/>
    <x v="3"/>
    <x v="8"/>
    <x v="1"/>
  </r>
  <r>
    <s v="TX501573"/>
    <x v="6"/>
    <x v="12"/>
    <n v="62.4"/>
    <n v="249.6"/>
    <d v="2025-02-28T00:00:00"/>
    <d v="2025-03-03T00:00:00"/>
    <s v="F"/>
    <x v="0"/>
    <n v="3"/>
    <x v="0"/>
    <x v="23"/>
    <x v="2"/>
    <x v="8"/>
    <x v="2"/>
  </r>
  <r>
    <s v="TX501574"/>
    <x v="10"/>
    <x v="9"/>
    <n v="24.7"/>
    <n v="123.5"/>
    <d v="2025-02-28T00:00:00"/>
    <d v="2025-03-01T00:00:00"/>
    <s v="F"/>
    <x v="0"/>
    <n v="4"/>
    <x v="0"/>
    <x v="6"/>
    <x v="3"/>
    <x v="8"/>
    <x v="2"/>
  </r>
  <r>
    <s v="TX501575"/>
    <x v="1"/>
    <x v="9"/>
    <n v="61.7"/>
    <n v="308.5"/>
    <d v="2025-02-28T00:00:00"/>
    <d v="2025-03-02T00:00:00"/>
    <s v="F"/>
    <x v="2"/>
    <n v="4"/>
    <x v="0"/>
    <x v="8"/>
    <x v="1"/>
    <x v="8"/>
    <x v="2"/>
  </r>
  <r>
    <s v="TX501576"/>
    <x v="8"/>
    <x v="9"/>
    <n v="18.2"/>
    <n v="91"/>
    <d v="2025-02-28T00:00:00"/>
    <d v="2025-03-02T00:00:00"/>
    <s v="F"/>
    <x v="3"/>
    <n v="4"/>
    <x v="0"/>
    <x v="8"/>
    <x v="1"/>
    <x v="8"/>
    <x v="2"/>
  </r>
  <r>
    <s v="TX501577"/>
    <x v="10"/>
    <x v="12"/>
    <n v="37.200000000000003"/>
    <n v="148.80000000000001"/>
    <d v="2025-02-28T00:00:00"/>
    <d v="2025-03-06T00:00:00"/>
    <s v="F"/>
    <x v="0"/>
    <n v="4"/>
    <x v="0"/>
    <x v="8"/>
    <x v="4"/>
    <x v="8"/>
    <x v="2"/>
  </r>
  <r>
    <s v="TX501578"/>
    <x v="9"/>
    <x v="2"/>
    <n v="53.5"/>
    <n v="160.5"/>
    <d v="2025-02-28T00:00:00"/>
    <d v="2025-03-02T00:00:00"/>
    <s v="F"/>
    <x v="1"/>
    <n v="5"/>
    <x v="0"/>
    <x v="9"/>
    <x v="1"/>
    <x v="8"/>
    <x v="2"/>
  </r>
  <r>
    <s v="TX501579"/>
    <x v="8"/>
    <x v="2"/>
    <n v="43.6"/>
    <n v="130.80000000000001"/>
    <d v="2025-02-28T00:00:00"/>
    <d v="2025-02-28T00:00:00"/>
    <s v="F"/>
    <x v="0"/>
    <n v="4"/>
    <x v="0"/>
    <x v="9"/>
    <x v="7"/>
    <x v="8"/>
    <x v="2"/>
  </r>
  <r>
    <s v="TX501580"/>
    <x v="1"/>
    <x v="7"/>
    <n v="135"/>
    <n v="1350"/>
    <d v="2025-02-28T00:00:00"/>
    <d v="2025-03-02T00:00:00"/>
    <s v="F"/>
    <x v="0"/>
    <n v="5"/>
    <x v="0"/>
    <x v="9"/>
    <x v="1"/>
    <x v="8"/>
    <x v="2"/>
  </r>
  <r>
    <s v="TX501581"/>
    <x v="8"/>
    <x v="9"/>
    <n v="38.5"/>
    <n v="192.5"/>
    <d v="2025-02-28T00:00:00"/>
    <d v="2025-02-28T00:00:00"/>
    <s v="M"/>
    <x v="4"/>
    <n v="5"/>
    <x v="0"/>
    <x v="10"/>
    <x v="7"/>
    <x v="8"/>
    <x v="1"/>
  </r>
  <r>
    <s v="TX501582"/>
    <x v="9"/>
    <x v="1"/>
    <n v="24"/>
    <n v="48"/>
    <d v="2025-02-28T00:00:00"/>
    <d v="2025-03-05T00:00:00"/>
    <s v="F"/>
    <x v="0"/>
    <n v="4"/>
    <x v="0"/>
    <x v="11"/>
    <x v="0"/>
    <x v="8"/>
    <x v="2"/>
  </r>
  <r>
    <s v="TX501583"/>
    <x v="4"/>
    <x v="2"/>
    <n v="28.2"/>
    <n v="84.6"/>
    <d v="2025-02-28T00:00:00"/>
    <d v="2025-03-02T00:00:00"/>
    <s v="M"/>
    <x v="0"/>
    <n v="1"/>
    <x v="0"/>
    <x v="18"/>
    <x v="1"/>
    <x v="8"/>
    <x v="1"/>
  </r>
  <r>
    <s v="TX501584"/>
    <x v="7"/>
    <x v="2"/>
    <n v="37.4"/>
    <n v="112.19999999999999"/>
    <d v="2025-02-28T00:00:00"/>
    <d v="2025-03-01T00:00:00"/>
    <s v="F"/>
    <x v="3"/>
    <n v="4"/>
    <x v="0"/>
    <x v="1"/>
    <x v="3"/>
    <x v="8"/>
    <x v="2"/>
  </r>
  <r>
    <s v="TX501585"/>
    <x v="6"/>
    <x v="2"/>
    <n v="53.5"/>
    <n v="160.5"/>
    <d v="2025-02-28T00:00:00"/>
    <d v="2025-03-03T00:00:00"/>
    <s v=""/>
    <x v="4"/>
    <n v="2"/>
    <x v="0"/>
    <x v="1"/>
    <x v="2"/>
    <x v="8"/>
    <x v="0"/>
  </r>
  <r>
    <s v="TX501586"/>
    <x v="11"/>
    <x v="9"/>
    <n v="36.200000000000003"/>
    <n v="181"/>
    <d v="2025-02-28T00:00:00"/>
    <d v="2025-03-01T00:00:00"/>
    <s v="M"/>
    <x v="1"/>
    <n v="5"/>
    <x v="0"/>
    <x v="33"/>
    <x v="3"/>
    <x v="8"/>
    <x v="1"/>
  </r>
  <r>
    <s v="TX501587"/>
    <x v="0"/>
    <x v="8"/>
    <n v="31.9"/>
    <n v="255.2"/>
    <d v="2025-02-28T00:00:00"/>
    <d v="2025-03-01T00:00:00"/>
    <s v="F"/>
    <x v="4"/>
    <n v="4"/>
    <x v="0"/>
    <x v="3"/>
    <x v="3"/>
    <x v="8"/>
    <x v="2"/>
  </r>
  <r>
    <s v="TX501588"/>
    <x v="8"/>
    <x v="2"/>
    <n v="21.3"/>
    <n v="63.900000000000006"/>
    <d v="2025-02-28T00:00:00"/>
    <d v="2025-03-01T00:00:00"/>
    <s v="M"/>
    <x v="0"/>
    <n v="5"/>
    <x v="0"/>
    <x v="3"/>
    <x v="3"/>
    <x v="8"/>
    <x v="1"/>
  </r>
  <r>
    <s v="TX501589"/>
    <x v="8"/>
    <x v="0"/>
    <n v="36.299999999999997"/>
    <n v="36.299999999999997"/>
    <d v="2025-02-28T00:00:00"/>
    <d v="2025-03-02T00:00:00"/>
    <s v="O"/>
    <x v="4"/>
    <n v="4"/>
    <x v="0"/>
    <x v="3"/>
    <x v="1"/>
    <x v="8"/>
    <x v="3"/>
  </r>
  <r>
    <s v="TX501590"/>
    <x v="6"/>
    <x v="2"/>
    <n v="110.5"/>
    <n v="331.5"/>
    <d v="2025-02-28T00:00:00"/>
    <d v="2025-03-01T00:00:00"/>
    <s v="F"/>
    <x v="0"/>
    <n v="1"/>
    <x v="0"/>
    <x v="3"/>
    <x v="3"/>
    <x v="8"/>
    <x v="2"/>
  </r>
  <r>
    <s v="TX501591"/>
    <x v="10"/>
    <x v="3"/>
    <n v="32.6"/>
    <n v="228.20000000000002"/>
    <d v="2025-02-28T00:00:00"/>
    <d v="2025-03-02T00:00:00"/>
    <s v="F"/>
    <x v="0"/>
    <n v="3"/>
    <x v="0"/>
    <x v="3"/>
    <x v="1"/>
    <x v="8"/>
    <x v="2"/>
  </r>
  <r>
    <s v="TX501592"/>
    <x v="5"/>
    <x v="2"/>
    <n v="55.6"/>
    <n v="166.8"/>
    <d v="2025-03-01T00:00:00"/>
    <d v="2025-03-14T00:00:00"/>
    <s v="F"/>
    <x v="0"/>
    <n v="4"/>
    <x v="0"/>
    <x v="3"/>
    <x v="10"/>
    <x v="8"/>
    <x v="2"/>
  </r>
  <r>
    <s v="TX501593"/>
    <x v="1"/>
    <x v="12"/>
    <n v="38"/>
    <n v="152"/>
    <d v="2025-03-01T00:00:00"/>
    <d v="2025-03-02T00:00:00"/>
    <s v="F"/>
    <x v="3"/>
    <n v="5"/>
    <x v="0"/>
    <x v="5"/>
    <x v="3"/>
    <x v="8"/>
    <x v="2"/>
  </r>
  <r>
    <s v="TX501594"/>
    <x v="10"/>
    <x v="1"/>
    <n v="51.8"/>
    <n v="103.6"/>
    <d v="2025-03-01T00:00:00"/>
    <d v="2025-03-07T00:00:00"/>
    <s v="M"/>
    <x v="1"/>
    <n v="2"/>
    <x v="0"/>
    <x v="6"/>
    <x v="4"/>
    <x v="8"/>
    <x v="1"/>
  </r>
  <r>
    <s v="TX501595"/>
    <x v="11"/>
    <x v="8"/>
    <n v="28.7"/>
    <n v="229.6"/>
    <d v="2025-03-01T00:00:00"/>
    <d v="2025-03-06T00:00:00"/>
    <s v="F"/>
    <x v="0"/>
    <n v="4"/>
    <x v="0"/>
    <x v="6"/>
    <x v="0"/>
    <x v="8"/>
    <x v="2"/>
  </r>
  <r>
    <s v="TX501596"/>
    <x v="6"/>
    <x v="4"/>
    <n v="52.2"/>
    <n v="626.40000000000009"/>
    <d v="2025-03-01T00:00:00"/>
    <d v="2025-03-01T00:00:00"/>
    <s v="M"/>
    <x v="0"/>
    <n v="3"/>
    <x v="0"/>
    <x v="6"/>
    <x v="7"/>
    <x v="8"/>
    <x v="1"/>
  </r>
  <r>
    <s v="TX501597"/>
    <x v="1"/>
    <x v="1"/>
    <n v="68.2"/>
    <n v="136.4"/>
    <d v="2025-03-01T00:00:00"/>
    <d v="2025-03-02T00:00:00"/>
    <s v=""/>
    <x v="2"/>
    <n v="4"/>
    <x v="0"/>
    <x v="7"/>
    <x v="3"/>
    <x v="8"/>
    <x v="0"/>
  </r>
  <r>
    <s v="TX501598"/>
    <x v="0"/>
    <x v="2"/>
    <n v="34"/>
    <n v="102"/>
    <d v="2025-03-01T00:00:00"/>
    <d v="2025-03-05T00:00:00"/>
    <s v="F"/>
    <x v="0"/>
    <n v="4"/>
    <x v="0"/>
    <x v="8"/>
    <x v="5"/>
    <x v="8"/>
    <x v="2"/>
  </r>
  <r>
    <s v="TX501599"/>
    <x v="8"/>
    <x v="2"/>
    <n v="19.100000000000001"/>
    <n v="57.300000000000004"/>
    <d v="2025-03-01T00:00:00"/>
    <d v="2025-03-02T00:00:00"/>
    <s v="F"/>
    <x v="4"/>
    <n v="4"/>
    <x v="0"/>
    <x v="8"/>
    <x v="3"/>
    <x v="8"/>
    <x v="2"/>
  </r>
  <r>
    <s v="TX501600"/>
    <x v="5"/>
    <x v="8"/>
    <n v="34"/>
    <n v="272"/>
    <d v="2025-03-01T00:00:00"/>
    <d v="2025-03-09T00:00:00"/>
    <s v="F"/>
    <x v="4"/>
    <n v="4"/>
    <x v="0"/>
    <x v="8"/>
    <x v="9"/>
    <x v="8"/>
    <x v="2"/>
  </r>
  <r>
    <s v="TX501601"/>
    <x v="12"/>
    <x v="1"/>
    <n v="109.1"/>
    <n v="218.2"/>
    <d v="2025-03-01T00:00:00"/>
    <d v="2025-03-03T00:00:00"/>
    <s v="M"/>
    <x v="0"/>
    <n v="5"/>
    <x v="0"/>
    <x v="8"/>
    <x v="1"/>
    <x v="8"/>
    <x v="1"/>
  </r>
  <r>
    <s v="TX501602"/>
    <x v="18"/>
    <x v="1"/>
    <n v="64.8"/>
    <n v="129.6"/>
    <d v="2025-03-01T00:00:00"/>
    <d v="2025-03-03T00:00:00"/>
    <s v="M"/>
    <x v="0"/>
    <n v="5"/>
    <x v="0"/>
    <x v="8"/>
    <x v="1"/>
    <x v="8"/>
    <x v="1"/>
  </r>
  <r>
    <s v="TX501603"/>
    <x v="10"/>
    <x v="1"/>
    <n v="21.1"/>
    <n v="42.2"/>
    <d v="2025-03-01T00:00:00"/>
    <d v="2025-03-01T00:00:00"/>
    <s v="F"/>
    <x v="1"/>
    <n v="4"/>
    <x v="0"/>
    <x v="11"/>
    <x v="7"/>
    <x v="8"/>
    <x v="2"/>
  </r>
  <r>
    <s v="TX501604"/>
    <x v="0"/>
    <x v="8"/>
    <n v="21.3"/>
    <n v="170.4"/>
    <d v="2025-03-01T00:00:00"/>
    <d v="2025-03-03T00:00:00"/>
    <s v="M"/>
    <x v="3"/>
    <n v="3"/>
    <x v="0"/>
    <x v="18"/>
    <x v="1"/>
    <x v="8"/>
    <x v="1"/>
  </r>
  <r>
    <s v="TX501605"/>
    <x v="9"/>
    <x v="2"/>
    <n v="24.3"/>
    <n v="72.900000000000006"/>
    <d v="2025-03-01T00:00:00"/>
    <d v="2025-03-02T00:00:00"/>
    <s v="M"/>
    <x v="1"/>
    <n v="4"/>
    <x v="0"/>
    <x v="19"/>
    <x v="3"/>
    <x v="8"/>
    <x v="1"/>
  </r>
  <r>
    <s v="TX501606"/>
    <x v="8"/>
    <x v="0"/>
    <n v="43.3"/>
    <n v="43.3"/>
    <d v="2025-03-01T00:00:00"/>
    <d v="2025-03-05T00:00:00"/>
    <s v="M"/>
    <x v="1"/>
    <n v="3"/>
    <x v="0"/>
    <x v="13"/>
    <x v="5"/>
    <x v="8"/>
    <x v="1"/>
  </r>
  <r>
    <s v="TX501607"/>
    <x v="9"/>
    <x v="2"/>
    <n v="41"/>
    <n v="123"/>
    <d v="2025-03-01T00:00:00"/>
    <d v="2025-03-02T00:00:00"/>
    <s v="F"/>
    <x v="3"/>
    <n v="2"/>
    <x v="0"/>
    <x v="21"/>
    <x v="3"/>
    <x v="8"/>
    <x v="2"/>
  </r>
  <r>
    <s v="TX501608"/>
    <x v="16"/>
    <x v="2"/>
    <n v="54.1"/>
    <n v="162.30000000000001"/>
    <d v="2025-03-01T00:00:00"/>
    <d v="2025-03-03T00:00:00"/>
    <s v="F"/>
    <x v="4"/>
    <n v="4"/>
    <x v="0"/>
    <x v="21"/>
    <x v="1"/>
    <x v="8"/>
    <x v="2"/>
  </r>
  <r>
    <s v="TX501609"/>
    <x v="11"/>
    <x v="1"/>
    <n v="39"/>
    <n v="78"/>
    <d v="2025-03-01T00:00:00"/>
    <d v="2025-03-02T00:00:00"/>
    <s v="M"/>
    <x v="1"/>
    <n v="5"/>
    <x v="0"/>
    <x v="1"/>
    <x v="3"/>
    <x v="8"/>
    <x v="1"/>
  </r>
  <r>
    <s v="TX501610"/>
    <x v="8"/>
    <x v="1"/>
    <n v="40.299999999999997"/>
    <n v="80.599999999999994"/>
    <d v="2025-03-01T00:00:00"/>
    <d v="2025-03-03T00:00:00"/>
    <s v="M"/>
    <x v="3"/>
    <n v="4"/>
    <x v="0"/>
    <x v="27"/>
    <x v="1"/>
    <x v="8"/>
    <x v="1"/>
  </r>
  <r>
    <s v="TX501611"/>
    <x v="8"/>
    <x v="2"/>
    <n v="24.1"/>
    <n v="72.300000000000011"/>
    <d v="2025-03-01T00:00:00"/>
    <d v="2025-03-02T00:00:00"/>
    <s v="M"/>
    <x v="0"/>
    <n v="5"/>
    <x v="0"/>
    <x v="34"/>
    <x v="3"/>
    <x v="8"/>
    <x v="1"/>
  </r>
  <r>
    <s v="TX501612"/>
    <x v="6"/>
    <x v="9"/>
    <n v="52.3"/>
    <n v="261.5"/>
    <d v="2025-03-01T00:00:00"/>
    <d v="2025-03-02T00:00:00"/>
    <s v="M"/>
    <x v="2"/>
    <n v="4"/>
    <x v="0"/>
    <x v="3"/>
    <x v="3"/>
    <x v="8"/>
    <x v="1"/>
  </r>
  <r>
    <s v="TX501613"/>
    <x v="12"/>
    <x v="12"/>
    <n v="68.8"/>
    <n v="275.2"/>
    <d v="2025-03-01T00:00:00"/>
    <d v="2025-03-05T00:00:00"/>
    <s v="F"/>
    <x v="4"/>
    <n v="5"/>
    <x v="0"/>
    <x v="3"/>
    <x v="5"/>
    <x v="8"/>
    <x v="2"/>
  </r>
  <r>
    <s v="TX501614"/>
    <x v="2"/>
    <x v="1"/>
    <n v="128.80000000000001"/>
    <n v="257.60000000000002"/>
    <d v="2025-03-02T00:00:00"/>
    <d v="2025-03-05T00:00:00"/>
    <s v="F"/>
    <x v="1"/>
    <n v="3"/>
    <x v="0"/>
    <x v="3"/>
    <x v="2"/>
    <x v="9"/>
    <x v="2"/>
  </r>
  <r>
    <s v="TX501615"/>
    <x v="15"/>
    <x v="9"/>
    <n v="48.2"/>
    <n v="241"/>
    <d v="2025-03-02T00:00:00"/>
    <d v="2025-03-04T00:00:00"/>
    <s v="F"/>
    <x v="3"/>
    <n v="4"/>
    <x v="0"/>
    <x v="3"/>
    <x v="1"/>
    <x v="9"/>
    <x v="2"/>
  </r>
  <r>
    <s v="TX501616"/>
    <x v="10"/>
    <x v="0"/>
    <n v="39.700000000000003"/>
    <n v="39.700000000000003"/>
    <d v="2025-03-02T00:00:00"/>
    <d v="2025-03-04T00:00:00"/>
    <s v="F"/>
    <x v="0"/>
    <n v="3"/>
    <x v="0"/>
    <x v="3"/>
    <x v="1"/>
    <x v="9"/>
    <x v="2"/>
  </r>
  <r>
    <s v="TX501617"/>
    <x v="9"/>
    <x v="0"/>
    <n v="59.7"/>
    <n v="59.7"/>
    <d v="2025-03-02T00:00:00"/>
    <d v="2025-03-05T00:00:00"/>
    <s v="F"/>
    <x v="4"/>
    <n v="4"/>
    <x v="0"/>
    <x v="3"/>
    <x v="2"/>
    <x v="9"/>
    <x v="2"/>
  </r>
  <r>
    <s v="TX501618"/>
    <x v="6"/>
    <x v="0"/>
    <n v="48.3"/>
    <n v="48.3"/>
    <d v="2025-03-02T00:00:00"/>
    <d v="2025-03-16T00:00:00"/>
    <s v="O"/>
    <x v="0"/>
    <n v="5"/>
    <x v="0"/>
    <x v="3"/>
    <x v="12"/>
    <x v="9"/>
    <x v="3"/>
  </r>
  <r>
    <s v="TX501619"/>
    <x v="8"/>
    <x v="2"/>
    <n v="45.5"/>
    <n v="136.5"/>
    <d v="2025-03-02T00:00:00"/>
    <d v="2025-03-04T00:00:00"/>
    <s v="M"/>
    <x v="2"/>
    <n v="3"/>
    <x v="0"/>
    <x v="3"/>
    <x v="1"/>
    <x v="9"/>
    <x v="1"/>
  </r>
  <r>
    <s v="TX501620"/>
    <x v="9"/>
    <x v="6"/>
    <n v="51"/>
    <n v="1377"/>
    <d v="2025-03-02T00:00:00"/>
    <d v="2025-03-02T00:00:00"/>
    <s v="F"/>
    <x v="2"/>
    <n v="4"/>
    <x v="0"/>
    <x v="3"/>
    <x v="7"/>
    <x v="9"/>
    <x v="2"/>
  </r>
  <r>
    <s v="TX501621"/>
    <x v="4"/>
    <x v="13"/>
    <n v="20.399999999999999"/>
    <n v="122.39999999999999"/>
    <d v="2025-03-02T00:00:00"/>
    <d v="2025-03-03T00:00:00"/>
    <s v="M"/>
    <x v="2"/>
    <n v="4"/>
    <x v="0"/>
    <x v="3"/>
    <x v="3"/>
    <x v="9"/>
    <x v="1"/>
  </r>
  <r>
    <s v="TX501622"/>
    <x v="10"/>
    <x v="1"/>
    <n v="30.4"/>
    <n v="60.8"/>
    <d v="2025-03-02T00:00:00"/>
    <d v="2025-03-04T00:00:00"/>
    <s v="M"/>
    <x v="2"/>
    <n v="4"/>
    <x v="0"/>
    <x v="3"/>
    <x v="1"/>
    <x v="9"/>
    <x v="1"/>
  </r>
  <r>
    <s v="TX501623"/>
    <x v="7"/>
    <x v="1"/>
    <n v="71.5"/>
    <n v="143"/>
    <d v="2025-03-02T00:00:00"/>
    <d v="2025-03-06T00:00:00"/>
    <s v="F"/>
    <x v="0"/>
    <n v="4"/>
    <x v="0"/>
    <x v="3"/>
    <x v="5"/>
    <x v="9"/>
    <x v="2"/>
  </r>
  <r>
    <s v="TX501624"/>
    <x v="8"/>
    <x v="13"/>
    <n v="18"/>
    <n v="108"/>
    <d v="2025-03-02T00:00:00"/>
    <d v="2025-03-03T00:00:00"/>
    <s v="O"/>
    <x v="1"/>
    <n v="5"/>
    <x v="0"/>
    <x v="6"/>
    <x v="3"/>
    <x v="9"/>
    <x v="3"/>
  </r>
  <r>
    <s v="TX501625"/>
    <x v="15"/>
    <x v="5"/>
    <n v="45.6"/>
    <n v="501.6"/>
    <d v="2025-03-02T00:00:00"/>
    <d v="2025-03-03T00:00:00"/>
    <s v="O"/>
    <x v="1"/>
    <n v="3"/>
    <x v="0"/>
    <x v="7"/>
    <x v="3"/>
    <x v="9"/>
    <x v="3"/>
  </r>
  <r>
    <s v="TX501626"/>
    <x v="9"/>
    <x v="0"/>
    <n v="31.8"/>
    <n v="31.8"/>
    <d v="2025-03-02T00:00:00"/>
    <d v="2025-03-06T00:00:00"/>
    <s v="F"/>
    <x v="0"/>
    <n v="5"/>
    <x v="0"/>
    <x v="7"/>
    <x v="5"/>
    <x v="9"/>
    <x v="2"/>
  </r>
  <r>
    <s v="TX501627"/>
    <x v="8"/>
    <x v="9"/>
    <n v="19.899999999999999"/>
    <n v="99.5"/>
    <d v="2025-03-02T00:00:00"/>
    <d v="2025-03-03T00:00:00"/>
    <s v="F"/>
    <x v="1"/>
    <n v="4"/>
    <x v="0"/>
    <x v="7"/>
    <x v="3"/>
    <x v="9"/>
    <x v="2"/>
  </r>
  <r>
    <s v="TX501628"/>
    <x v="12"/>
    <x v="11"/>
    <n v="52.1"/>
    <n v="468.90000000000003"/>
    <d v="2025-03-02T00:00:00"/>
    <d v="2025-03-04T00:00:00"/>
    <s v="M"/>
    <x v="0"/>
    <n v="4"/>
    <x v="0"/>
    <x v="8"/>
    <x v="1"/>
    <x v="9"/>
    <x v="1"/>
  </r>
  <r>
    <s v="TX501629"/>
    <x v="1"/>
    <x v="3"/>
    <n v="45.9"/>
    <n v="321.3"/>
    <d v="2025-03-02T00:00:00"/>
    <d v="2025-03-03T00:00:00"/>
    <s v="M"/>
    <x v="0"/>
    <n v="3"/>
    <x v="0"/>
    <x v="8"/>
    <x v="3"/>
    <x v="9"/>
    <x v="1"/>
  </r>
  <r>
    <s v="TX501630"/>
    <x v="1"/>
    <x v="7"/>
    <n v="115.9"/>
    <n v="1159"/>
    <d v="2025-03-02T00:00:00"/>
    <d v="2025-03-05T00:00:00"/>
    <s v="F"/>
    <x v="1"/>
    <n v="4"/>
    <x v="0"/>
    <x v="8"/>
    <x v="2"/>
    <x v="9"/>
    <x v="2"/>
  </r>
  <r>
    <s v="TX501631"/>
    <x v="6"/>
    <x v="11"/>
    <n v="86"/>
    <n v="774"/>
    <d v="2025-03-02T00:00:00"/>
    <d v="2025-03-07T00:00:00"/>
    <s v="F"/>
    <x v="0"/>
    <n v="3"/>
    <x v="0"/>
    <x v="8"/>
    <x v="0"/>
    <x v="9"/>
    <x v="2"/>
  </r>
  <r>
    <s v="TX501632"/>
    <x v="7"/>
    <x v="3"/>
    <n v="73.599999999999994"/>
    <n v="515.19999999999993"/>
    <d v="2025-03-02T00:00:00"/>
    <d v="2025-03-04T00:00:00"/>
    <s v="F"/>
    <x v="0"/>
    <n v="4"/>
    <x v="0"/>
    <x v="17"/>
    <x v="1"/>
    <x v="9"/>
    <x v="2"/>
  </r>
  <r>
    <s v="TX501633"/>
    <x v="10"/>
    <x v="2"/>
    <n v="26.7"/>
    <n v="80.099999999999994"/>
    <d v="2025-03-02T00:00:00"/>
    <d v="2025-03-06T00:00:00"/>
    <s v="F"/>
    <x v="0"/>
    <n v="4"/>
    <x v="0"/>
    <x v="11"/>
    <x v="5"/>
    <x v="9"/>
    <x v="2"/>
  </r>
  <r>
    <s v="TX501634"/>
    <x v="8"/>
    <x v="3"/>
    <n v="46.6"/>
    <n v="326.2"/>
    <d v="2025-03-02T00:00:00"/>
    <d v="2025-03-04T00:00:00"/>
    <s v=""/>
    <x v="3"/>
    <n v="4"/>
    <x v="0"/>
    <x v="11"/>
    <x v="1"/>
    <x v="9"/>
    <x v="0"/>
  </r>
  <r>
    <s v="TX501635"/>
    <x v="3"/>
    <x v="2"/>
    <n v="84.6"/>
    <n v="253.79999999999998"/>
    <d v="2025-03-02T00:00:00"/>
    <d v="2025-03-04T00:00:00"/>
    <s v="M"/>
    <x v="4"/>
    <n v="4"/>
    <x v="0"/>
    <x v="11"/>
    <x v="1"/>
    <x v="9"/>
    <x v="1"/>
  </r>
  <r>
    <s v="TX501636"/>
    <x v="7"/>
    <x v="21"/>
    <n v="41.5"/>
    <n v="581"/>
    <d v="2025-03-02T00:00:00"/>
    <d v="2025-03-16T00:00:00"/>
    <s v="M"/>
    <x v="1"/>
    <n v="4"/>
    <x v="0"/>
    <x v="53"/>
    <x v="12"/>
    <x v="9"/>
    <x v="1"/>
  </r>
  <r>
    <s v="TX501637"/>
    <x v="8"/>
    <x v="0"/>
    <n v="32.799999999999997"/>
    <n v="32.799999999999997"/>
    <d v="2025-03-02T00:00:00"/>
    <d v="2025-03-05T00:00:00"/>
    <s v="M"/>
    <x v="0"/>
    <n v="5"/>
    <x v="0"/>
    <x v="30"/>
    <x v="2"/>
    <x v="9"/>
    <x v="1"/>
  </r>
  <r>
    <s v="TX501638"/>
    <x v="4"/>
    <x v="3"/>
    <n v="46.7"/>
    <n v="326.90000000000003"/>
    <d v="2025-03-02T00:00:00"/>
    <d v="2025-03-04T00:00:00"/>
    <s v="O"/>
    <x v="0"/>
    <n v="5"/>
    <x v="0"/>
    <x v="18"/>
    <x v="1"/>
    <x v="9"/>
    <x v="3"/>
  </r>
  <r>
    <s v="TX501639"/>
    <x v="15"/>
    <x v="3"/>
    <n v="21"/>
    <n v="147"/>
    <d v="2025-03-02T00:00:00"/>
    <d v="2025-03-05T00:00:00"/>
    <s v="M"/>
    <x v="2"/>
    <n v="3"/>
    <x v="0"/>
    <x v="21"/>
    <x v="2"/>
    <x v="9"/>
    <x v="1"/>
  </r>
  <r>
    <s v="TX501640"/>
    <x v="5"/>
    <x v="3"/>
    <n v="29.4"/>
    <n v="205.79999999999998"/>
    <d v="2025-03-02T00:00:00"/>
    <d v="2025-03-02T00:00:00"/>
    <s v="M"/>
    <x v="3"/>
    <n v="5"/>
    <x v="0"/>
    <x v="21"/>
    <x v="7"/>
    <x v="9"/>
    <x v="1"/>
  </r>
  <r>
    <s v="TX501641"/>
    <x v="15"/>
    <x v="1"/>
    <n v="32.299999999999997"/>
    <n v="64.599999999999994"/>
    <d v="2025-03-02T00:00:00"/>
    <d v="2025-03-03T00:00:00"/>
    <s v="M"/>
    <x v="0"/>
    <n v="5"/>
    <x v="0"/>
    <x v="21"/>
    <x v="3"/>
    <x v="9"/>
    <x v="1"/>
  </r>
  <r>
    <s v="TX501642"/>
    <x v="6"/>
    <x v="0"/>
    <n v="42.2"/>
    <n v="42.2"/>
    <d v="2025-03-03T00:00:00"/>
    <d v="2025-03-05T00:00:00"/>
    <s v="F"/>
    <x v="0"/>
    <n v="5"/>
    <x v="0"/>
    <x v="21"/>
    <x v="1"/>
    <x v="9"/>
    <x v="2"/>
  </r>
  <r>
    <s v="TX501643"/>
    <x v="6"/>
    <x v="0"/>
    <n v="53.7"/>
    <n v="53.7"/>
    <d v="2025-03-03T00:00:00"/>
    <d v="2025-03-05T00:00:00"/>
    <s v="M"/>
    <x v="1"/>
    <n v="3"/>
    <x v="0"/>
    <x v="1"/>
    <x v="1"/>
    <x v="9"/>
    <x v="1"/>
  </r>
  <r>
    <s v="TX501644"/>
    <x v="2"/>
    <x v="1"/>
    <n v="123.9"/>
    <n v="247.8"/>
    <d v="2025-03-03T00:00:00"/>
    <d v="2025-03-06T00:00:00"/>
    <s v="M"/>
    <x v="2"/>
    <n v="4"/>
    <x v="0"/>
    <x v="1"/>
    <x v="2"/>
    <x v="9"/>
    <x v="1"/>
  </r>
  <r>
    <s v="TX501645"/>
    <x v="4"/>
    <x v="2"/>
    <n v="35.9"/>
    <n v="107.69999999999999"/>
    <d v="2025-03-03T00:00:00"/>
    <d v="2025-03-05T00:00:00"/>
    <s v="M"/>
    <x v="2"/>
    <n v="4"/>
    <x v="0"/>
    <x v="22"/>
    <x v="1"/>
    <x v="9"/>
    <x v="1"/>
  </r>
  <r>
    <s v="TX501646"/>
    <x v="4"/>
    <x v="1"/>
    <n v="23.6"/>
    <n v="47.2"/>
    <d v="2025-03-03T00:00:00"/>
    <d v="2025-03-06T00:00:00"/>
    <s v="M"/>
    <x v="0"/>
    <n v="5"/>
    <x v="0"/>
    <x v="3"/>
    <x v="2"/>
    <x v="9"/>
    <x v="1"/>
  </r>
  <r>
    <s v="TX501647"/>
    <x v="15"/>
    <x v="36"/>
    <n v="45.7"/>
    <n v="1599.5"/>
    <d v="2025-03-03T00:00:00"/>
    <d v="2025-03-04T00:00:00"/>
    <s v="M"/>
    <x v="0"/>
    <n v="3"/>
    <x v="0"/>
    <x v="3"/>
    <x v="3"/>
    <x v="9"/>
    <x v="1"/>
  </r>
  <r>
    <s v="TX501648"/>
    <x v="6"/>
    <x v="5"/>
    <n v="118.3"/>
    <n v="1301.3"/>
    <d v="2025-03-03T00:00:00"/>
    <d v="2025-03-05T00:00:00"/>
    <s v="M"/>
    <x v="4"/>
    <n v="5"/>
    <x v="0"/>
    <x v="3"/>
    <x v="1"/>
    <x v="9"/>
    <x v="1"/>
  </r>
  <r>
    <s v="TX501649"/>
    <x v="19"/>
    <x v="0"/>
    <n v="36"/>
    <n v="36"/>
    <d v="2025-03-03T00:00:00"/>
    <d v="2025-03-04T00:00:00"/>
    <s v="F"/>
    <x v="0"/>
    <n v="3"/>
    <x v="0"/>
    <x v="3"/>
    <x v="3"/>
    <x v="9"/>
    <x v="2"/>
  </r>
  <r>
    <s v="TX501650"/>
    <x v="8"/>
    <x v="1"/>
    <n v="37.1"/>
    <n v="74.2"/>
    <d v="2025-03-03T00:00:00"/>
    <d v="2025-03-06T00:00:00"/>
    <s v="F"/>
    <x v="2"/>
    <n v="4"/>
    <x v="0"/>
    <x v="3"/>
    <x v="2"/>
    <x v="9"/>
    <x v="2"/>
  </r>
  <r>
    <s v="TX501651"/>
    <x v="18"/>
    <x v="2"/>
    <n v="45.1"/>
    <n v="135.30000000000001"/>
    <d v="2025-03-03T00:00:00"/>
    <d v="2025-03-05T00:00:00"/>
    <s v="F"/>
    <x v="1"/>
    <n v="5"/>
    <x v="0"/>
    <x v="3"/>
    <x v="1"/>
    <x v="9"/>
    <x v="2"/>
  </r>
  <r>
    <s v="TX501652"/>
    <x v="5"/>
    <x v="27"/>
    <n v="37.9"/>
    <n v="606.4"/>
    <d v="2025-03-03T00:00:00"/>
    <d v="2025-03-04T00:00:00"/>
    <s v="F"/>
    <x v="3"/>
    <n v="5"/>
    <x v="0"/>
    <x v="3"/>
    <x v="3"/>
    <x v="9"/>
    <x v="2"/>
  </r>
  <r>
    <s v="TX501653"/>
    <x v="2"/>
    <x v="1"/>
    <n v="121.6"/>
    <n v="243.2"/>
    <d v="2025-03-03T00:00:00"/>
    <d v="2025-03-06T00:00:00"/>
    <s v="M"/>
    <x v="3"/>
    <n v="5"/>
    <x v="0"/>
    <x v="3"/>
    <x v="2"/>
    <x v="9"/>
    <x v="1"/>
  </r>
  <r>
    <s v="TX501654"/>
    <x v="5"/>
    <x v="3"/>
    <n v="38.200000000000003"/>
    <n v="267.40000000000003"/>
    <d v="2025-03-03T00:00:00"/>
    <d v="2025-03-06T00:00:00"/>
    <s v="F"/>
    <x v="0"/>
    <n v="4"/>
    <x v="0"/>
    <x v="3"/>
    <x v="2"/>
    <x v="9"/>
    <x v="2"/>
  </r>
  <r>
    <s v="TX501655"/>
    <x v="17"/>
    <x v="1"/>
    <n v="37.200000000000003"/>
    <n v="74.400000000000006"/>
    <d v="2025-03-03T00:00:00"/>
    <d v="2025-03-06T00:00:00"/>
    <s v="M"/>
    <x v="4"/>
    <n v="4"/>
    <x v="0"/>
    <x v="3"/>
    <x v="2"/>
    <x v="9"/>
    <x v="1"/>
  </r>
  <r>
    <s v="TX501656"/>
    <x v="2"/>
    <x v="12"/>
    <n v="115.7"/>
    <n v="462.8"/>
    <d v="2025-03-03T00:00:00"/>
    <d v="2025-03-06T00:00:00"/>
    <s v="F"/>
    <x v="1"/>
    <n v="4"/>
    <x v="0"/>
    <x v="3"/>
    <x v="2"/>
    <x v="9"/>
    <x v="2"/>
  </r>
  <r>
    <s v="TX501657"/>
    <x v="2"/>
    <x v="13"/>
    <n v="99.4"/>
    <n v="596.40000000000009"/>
    <d v="2025-03-03T00:00:00"/>
    <d v="2025-03-06T00:00:00"/>
    <s v="M"/>
    <x v="0"/>
    <n v="5"/>
    <x v="0"/>
    <x v="3"/>
    <x v="2"/>
    <x v="9"/>
    <x v="1"/>
  </r>
  <r>
    <s v="TX501658"/>
    <x v="11"/>
    <x v="0"/>
    <n v="38.700000000000003"/>
    <n v="38.700000000000003"/>
    <d v="2025-03-03T00:00:00"/>
    <d v="2025-03-04T00:00:00"/>
    <s v="F"/>
    <x v="2"/>
    <n v="4"/>
    <x v="0"/>
    <x v="25"/>
    <x v="3"/>
    <x v="9"/>
    <x v="2"/>
  </r>
  <r>
    <s v="TX501659"/>
    <x v="4"/>
    <x v="1"/>
    <n v="35.5"/>
    <n v="71"/>
    <d v="2025-03-03T00:00:00"/>
    <d v="2025-03-06T00:00:00"/>
    <s v="M"/>
    <x v="0"/>
    <n v="5"/>
    <x v="0"/>
    <x v="25"/>
    <x v="2"/>
    <x v="9"/>
    <x v="1"/>
  </r>
  <r>
    <s v="TX501660"/>
    <x v="2"/>
    <x v="12"/>
    <n v="93.3"/>
    <n v="373.2"/>
    <d v="2025-03-03T00:00:00"/>
    <d v="2025-03-06T00:00:00"/>
    <s v="F"/>
    <x v="0"/>
    <n v="5"/>
    <x v="0"/>
    <x v="6"/>
    <x v="2"/>
    <x v="9"/>
    <x v="2"/>
  </r>
  <r>
    <s v="TX501661"/>
    <x v="16"/>
    <x v="0"/>
    <n v="31.4"/>
    <n v="31.4"/>
    <d v="2025-03-03T00:00:00"/>
    <d v="2025-03-08T00:00:00"/>
    <s v="F"/>
    <x v="2"/>
    <n v="5"/>
    <x v="0"/>
    <x v="6"/>
    <x v="0"/>
    <x v="9"/>
    <x v="2"/>
  </r>
  <r>
    <s v="TX501662"/>
    <x v="1"/>
    <x v="0"/>
    <n v="85.9"/>
    <n v="85.9"/>
    <d v="2025-03-03T00:00:00"/>
    <d v="2025-03-06T00:00:00"/>
    <s v="M"/>
    <x v="1"/>
    <n v="4"/>
    <x v="0"/>
    <x v="6"/>
    <x v="2"/>
    <x v="9"/>
    <x v="1"/>
  </r>
  <r>
    <s v="TX501663"/>
    <x v="6"/>
    <x v="8"/>
    <n v="41.7"/>
    <n v="333.6"/>
    <d v="2025-03-03T00:00:00"/>
    <d v="2025-03-11T00:00:00"/>
    <s v="M"/>
    <x v="0"/>
    <n v="5"/>
    <x v="0"/>
    <x v="7"/>
    <x v="9"/>
    <x v="9"/>
    <x v="1"/>
  </r>
  <r>
    <s v="TX501664"/>
    <x v="8"/>
    <x v="12"/>
    <n v="31.5"/>
    <n v="126"/>
    <d v="2025-03-03T00:00:00"/>
    <d v="2025-03-04T00:00:00"/>
    <s v="F"/>
    <x v="0"/>
    <n v="4"/>
    <x v="0"/>
    <x v="7"/>
    <x v="3"/>
    <x v="9"/>
    <x v="2"/>
  </r>
  <r>
    <s v="TX501665"/>
    <x v="8"/>
    <x v="1"/>
    <n v="36.299999999999997"/>
    <n v="72.599999999999994"/>
    <d v="2025-03-03T00:00:00"/>
    <d v="2025-03-04T00:00:00"/>
    <s v="F"/>
    <x v="0"/>
    <n v="2"/>
    <x v="0"/>
    <x v="8"/>
    <x v="3"/>
    <x v="9"/>
    <x v="2"/>
  </r>
  <r>
    <s v="TX501666"/>
    <x v="8"/>
    <x v="2"/>
    <n v="33.4"/>
    <n v="100.19999999999999"/>
    <d v="2025-03-03T00:00:00"/>
    <d v="2025-03-04T00:00:00"/>
    <s v="F"/>
    <x v="3"/>
    <n v="4"/>
    <x v="0"/>
    <x v="17"/>
    <x v="3"/>
    <x v="9"/>
    <x v="2"/>
  </r>
  <r>
    <s v="TX501667"/>
    <x v="2"/>
    <x v="2"/>
    <n v="65.2"/>
    <n v="195.60000000000002"/>
    <d v="2025-03-03T00:00:00"/>
    <d v="2025-03-04T00:00:00"/>
    <s v="F"/>
    <x v="2"/>
    <n v="5"/>
    <x v="0"/>
    <x v="26"/>
    <x v="3"/>
    <x v="9"/>
    <x v="2"/>
  </r>
  <r>
    <s v="TX501668"/>
    <x v="8"/>
    <x v="11"/>
    <n v="65.5"/>
    <n v="589.5"/>
    <d v="2025-03-03T00:00:00"/>
    <d v="2025-03-06T00:00:00"/>
    <s v="F"/>
    <x v="0"/>
    <n v="5"/>
    <x v="0"/>
    <x v="9"/>
    <x v="2"/>
    <x v="9"/>
    <x v="2"/>
  </r>
  <r>
    <s v="TX501669"/>
    <x v="6"/>
    <x v="2"/>
    <n v="52.8"/>
    <n v="158.39999999999998"/>
    <d v="2025-03-03T00:00:00"/>
    <d v="2025-03-06T00:00:00"/>
    <s v="M"/>
    <x v="2"/>
    <n v="4"/>
    <x v="0"/>
    <x v="9"/>
    <x v="2"/>
    <x v="9"/>
    <x v="1"/>
  </r>
  <r>
    <s v="TX501670"/>
    <x v="9"/>
    <x v="9"/>
    <n v="24"/>
    <n v="120"/>
    <d v="2025-03-03T00:00:00"/>
    <d v="2025-03-07T00:00:00"/>
    <s v="M"/>
    <x v="0"/>
    <n v="3"/>
    <x v="0"/>
    <x v="11"/>
    <x v="5"/>
    <x v="9"/>
    <x v="1"/>
  </r>
  <r>
    <s v="TX501671"/>
    <x v="3"/>
    <x v="2"/>
    <n v="51.2"/>
    <n v="153.60000000000002"/>
    <d v="2025-03-03T00:00:00"/>
    <d v="2025-03-04T00:00:00"/>
    <s v="F"/>
    <x v="0"/>
    <n v="4"/>
    <x v="0"/>
    <x v="32"/>
    <x v="3"/>
    <x v="9"/>
    <x v="2"/>
  </r>
  <r>
    <s v="TX501672"/>
    <x v="5"/>
    <x v="2"/>
    <n v="28.3"/>
    <n v="84.9"/>
    <d v="2025-03-03T00:00:00"/>
    <d v="2025-03-05T00:00:00"/>
    <s v="M"/>
    <x v="4"/>
    <n v="4"/>
    <x v="0"/>
    <x v="19"/>
    <x v="1"/>
    <x v="9"/>
    <x v="1"/>
  </r>
  <r>
    <s v="TX501673"/>
    <x v="6"/>
    <x v="2"/>
    <n v="42.3"/>
    <n v="126.89999999999999"/>
    <d v="2025-03-03T00:00:00"/>
    <d v="2025-03-03T00:00:00"/>
    <s v="F"/>
    <x v="2"/>
    <n v="3"/>
    <x v="0"/>
    <x v="19"/>
    <x v="7"/>
    <x v="9"/>
    <x v="2"/>
  </r>
  <r>
    <s v="TX501674"/>
    <x v="2"/>
    <x v="8"/>
    <n v="163.30000000000001"/>
    <n v="1306.4000000000001"/>
    <d v="2025-03-04T00:00:00"/>
    <d v="2025-03-05T00:00:00"/>
    <s v="F"/>
    <x v="1"/>
    <n v="4"/>
    <x v="0"/>
    <x v="13"/>
    <x v="3"/>
    <x v="9"/>
    <x v="2"/>
  </r>
  <r>
    <s v="TX501675"/>
    <x v="6"/>
    <x v="3"/>
    <n v="47.3"/>
    <n v="331.09999999999997"/>
    <d v="2025-03-04T00:00:00"/>
    <d v="2025-03-07T00:00:00"/>
    <s v="F"/>
    <x v="4"/>
    <n v="3"/>
    <x v="0"/>
    <x v="21"/>
    <x v="2"/>
    <x v="9"/>
    <x v="2"/>
  </r>
  <r>
    <s v="TX501676"/>
    <x v="8"/>
    <x v="27"/>
    <n v="27.3"/>
    <n v="436.8"/>
    <d v="2025-03-04T00:00:00"/>
    <d v="2025-03-05T00:00:00"/>
    <s v="F"/>
    <x v="2"/>
    <n v="4"/>
    <x v="0"/>
    <x v="21"/>
    <x v="3"/>
    <x v="9"/>
    <x v="2"/>
  </r>
  <r>
    <s v="TX501677"/>
    <x v="10"/>
    <x v="13"/>
    <n v="34.9"/>
    <n v="209.39999999999998"/>
    <d v="2025-03-04T00:00:00"/>
    <d v="2025-03-15T00:00:00"/>
    <s v="F"/>
    <x v="0"/>
    <n v="4"/>
    <x v="0"/>
    <x v="21"/>
    <x v="11"/>
    <x v="9"/>
    <x v="2"/>
  </r>
  <r>
    <s v="TX501678"/>
    <x v="6"/>
    <x v="1"/>
    <n v="53.9"/>
    <n v="107.8"/>
    <d v="2025-03-04T00:00:00"/>
    <d v="2025-03-07T00:00:00"/>
    <s v="O"/>
    <x v="0"/>
    <n v="2"/>
    <x v="0"/>
    <x v="1"/>
    <x v="2"/>
    <x v="9"/>
    <x v="3"/>
  </r>
  <r>
    <s v="TX501679"/>
    <x v="2"/>
    <x v="1"/>
    <n v="87.2"/>
    <n v="174.4"/>
    <d v="2025-03-04T00:00:00"/>
    <d v="2025-03-05T00:00:00"/>
    <s v="F"/>
    <x v="0"/>
    <n v="3"/>
    <x v="0"/>
    <x v="1"/>
    <x v="3"/>
    <x v="9"/>
    <x v="2"/>
  </r>
  <r>
    <s v="TX501680"/>
    <x v="15"/>
    <x v="0"/>
    <n v="58.8"/>
    <n v="58.8"/>
    <d v="2025-03-04T00:00:00"/>
    <d v="2025-03-06T00:00:00"/>
    <s v="F"/>
    <x v="2"/>
    <n v="4"/>
    <x v="0"/>
    <x v="44"/>
    <x v="1"/>
    <x v="9"/>
    <x v="2"/>
  </r>
  <r>
    <s v="TX501681"/>
    <x v="2"/>
    <x v="3"/>
    <n v="125.5"/>
    <n v="878.5"/>
    <d v="2025-03-04T00:00:00"/>
    <d v="2025-03-05T00:00:00"/>
    <s v="M"/>
    <x v="2"/>
    <n v="2"/>
    <x v="0"/>
    <x v="22"/>
    <x v="3"/>
    <x v="9"/>
    <x v="1"/>
  </r>
  <r>
    <s v="TX501682"/>
    <x v="1"/>
    <x v="12"/>
    <n v="124.6"/>
    <n v="498.4"/>
    <d v="2025-03-04T00:00:00"/>
    <d v="2025-03-06T00:00:00"/>
    <s v="F"/>
    <x v="0"/>
    <n v="3"/>
    <x v="0"/>
    <x v="22"/>
    <x v="1"/>
    <x v="9"/>
    <x v="2"/>
  </r>
  <r>
    <s v="TX501683"/>
    <x v="1"/>
    <x v="3"/>
    <n v="39.9"/>
    <n v="279.3"/>
    <d v="2025-03-04T00:00:00"/>
    <d v="2025-03-05T00:00:00"/>
    <s v="M"/>
    <x v="2"/>
    <n v="3"/>
    <x v="0"/>
    <x v="3"/>
    <x v="3"/>
    <x v="9"/>
    <x v="1"/>
  </r>
  <r>
    <s v="TX501684"/>
    <x v="6"/>
    <x v="0"/>
    <n v="94.6"/>
    <n v="94.6"/>
    <d v="2025-03-04T00:00:00"/>
    <d v="2025-03-18T00:00:00"/>
    <s v="F"/>
    <x v="0"/>
    <n v="3"/>
    <x v="0"/>
    <x v="3"/>
    <x v="12"/>
    <x v="9"/>
    <x v="2"/>
  </r>
  <r>
    <s v="TX501685"/>
    <x v="2"/>
    <x v="1"/>
    <n v="149.6"/>
    <n v="299.2"/>
    <d v="2025-03-04T00:00:00"/>
    <d v="2025-03-05T00:00:00"/>
    <s v="F"/>
    <x v="0"/>
    <n v="4"/>
    <x v="0"/>
    <x v="3"/>
    <x v="3"/>
    <x v="9"/>
    <x v="2"/>
  </r>
  <r>
    <s v="TX501686"/>
    <x v="8"/>
    <x v="0"/>
    <n v="52.2"/>
    <n v="52.2"/>
    <d v="2025-03-04T00:00:00"/>
    <d v="2025-03-05T00:00:00"/>
    <s v=""/>
    <x v="1"/>
    <n v="4"/>
    <x v="0"/>
    <x v="3"/>
    <x v="3"/>
    <x v="9"/>
    <x v="0"/>
  </r>
  <r>
    <s v="TX501687"/>
    <x v="6"/>
    <x v="1"/>
    <n v="96.5"/>
    <n v="193"/>
    <d v="2025-03-04T00:00:00"/>
    <d v="2025-03-05T00:00:00"/>
    <s v="F"/>
    <x v="1"/>
    <n v="3"/>
    <x v="0"/>
    <x v="3"/>
    <x v="3"/>
    <x v="9"/>
    <x v="2"/>
  </r>
  <r>
    <s v="TX501688"/>
    <x v="8"/>
    <x v="1"/>
    <n v="79.8"/>
    <n v="159.6"/>
    <d v="2025-03-04T00:00:00"/>
    <d v="2025-03-06T00:00:00"/>
    <s v="F"/>
    <x v="0"/>
    <n v="3"/>
    <x v="0"/>
    <x v="3"/>
    <x v="1"/>
    <x v="9"/>
    <x v="2"/>
  </r>
  <r>
    <s v="TX501689"/>
    <x v="8"/>
    <x v="2"/>
    <n v="35.6"/>
    <n v="106.80000000000001"/>
    <d v="2025-03-04T00:00:00"/>
    <d v="2025-03-05T00:00:00"/>
    <s v="F"/>
    <x v="2"/>
    <n v="4"/>
    <x v="0"/>
    <x v="3"/>
    <x v="3"/>
    <x v="9"/>
    <x v="2"/>
  </r>
  <r>
    <s v="TX501690"/>
    <x v="16"/>
    <x v="0"/>
    <n v="50.2"/>
    <n v="50.2"/>
    <d v="2025-03-04T00:00:00"/>
    <d v="2025-03-05T00:00:00"/>
    <s v="F"/>
    <x v="1"/>
    <n v="5"/>
    <x v="0"/>
    <x v="3"/>
    <x v="3"/>
    <x v="9"/>
    <x v="2"/>
  </r>
  <r>
    <s v="TX501691"/>
    <x v="1"/>
    <x v="2"/>
    <n v="55.3"/>
    <n v="165.89999999999998"/>
    <d v="2025-03-04T00:00:00"/>
    <d v="2025-03-07T00:00:00"/>
    <s v="F"/>
    <x v="0"/>
    <n v="2"/>
    <x v="0"/>
    <x v="40"/>
    <x v="2"/>
    <x v="9"/>
    <x v="2"/>
  </r>
  <r>
    <s v="TX501692"/>
    <x v="6"/>
    <x v="3"/>
    <n v="104.5"/>
    <n v="731.5"/>
    <d v="2025-03-04T00:00:00"/>
    <d v="2025-03-08T00:00:00"/>
    <s v="F"/>
    <x v="1"/>
    <n v="4"/>
    <x v="0"/>
    <x v="7"/>
    <x v="5"/>
    <x v="9"/>
    <x v="2"/>
  </r>
  <r>
    <s v="TX501693"/>
    <x v="6"/>
    <x v="12"/>
    <n v="66.5"/>
    <n v="266"/>
    <d v="2025-03-04T00:00:00"/>
    <d v="2025-03-06T00:00:00"/>
    <s v="M"/>
    <x v="1"/>
    <n v="4"/>
    <x v="0"/>
    <x v="7"/>
    <x v="1"/>
    <x v="9"/>
    <x v="1"/>
  </r>
  <r>
    <s v="TX501694"/>
    <x v="10"/>
    <x v="8"/>
    <n v="38.299999999999997"/>
    <n v="306.39999999999998"/>
    <d v="2025-03-04T00:00:00"/>
    <d v="2025-03-05T00:00:00"/>
    <s v="F"/>
    <x v="0"/>
    <n v="4"/>
    <x v="0"/>
    <x v="7"/>
    <x v="3"/>
    <x v="9"/>
    <x v="2"/>
  </r>
  <r>
    <s v="TX501695"/>
    <x v="6"/>
    <x v="2"/>
    <n v="63.8"/>
    <n v="191.39999999999998"/>
    <d v="2025-03-04T00:00:00"/>
    <d v="2025-03-07T00:00:00"/>
    <s v="F"/>
    <x v="1"/>
    <n v="4"/>
    <x v="0"/>
    <x v="8"/>
    <x v="2"/>
    <x v="9"/>
    <x v="2"/>
  </r>
  <r>
    <s v="TX501696"/>
    <x v="15"/>
    <x v="0"/>
    <n v="21.4"/>
    <n v="21.4"/>
    <d v="2025-03-04T00:00:00"/>
    <d v="2025-03-04T00:00:00"/>
    <s v="M"/>
    <x v="4"/>
    <n v="4"/>
    <x v="0"/>
    <x v="8"/>
    <x v="7"/>
    <x v="9"/>
    <x v="1"/>
  </r>
  <r>
    <s v="TX501697"/>
    <x v="8"/>
    <x v="12"/>
    <n v="44.1"/>
    <n v="176.4"/>
    <d v="2025-03-04T00:00:00"/>
    <d v="2025-03-06T00:00:00"/>
    <s v="F"/>
    <x v="2"/>
    <n v="4"/>
    <x v="0"/>
    <x v="8"/>
    <x v="1"/>
    <x v="9"/>
    <x v="2"/>
  </r>
  <r>
    <s v="TX501698"/>
    <x v="5"/>
    <x v="8"/>
    <n v="57.6"/>
    <n v="460.8"/>
    <d v="2025-03-04T00:00:00"/>
    <d v="2025-03-06T00:00:00"/>
    <s v="M"/>
    <x v="1"/>
    <n v="5"/>
    <x v="0"/>
    <x v="8"/>
    <x v="1"/>
    <x v="9"/>
    <x v="1"/>
  </r>
  <r>
    <s v="TX501699"/>
    <x v="9"/>
    <x v="1"/>
    <n v="20.3"/>
    <n v="40.6"/>
    <d v="2025-03-04T00:00:00"/>
    <d v="2025-03-10T00:00:00"/>
    <s v="F"/>
    <x v="3"/>
    <n v="4"/>
    <x v="0"/>
    <x v="8"/>
    <x v="4"/>
    <x v="9"/>
    <x v="2"/>
  </r>
  <r>
    <s v="TX501700"/>
    <x v="8"/>
    <x v="0"/>
    <n v="22.9"/>
    <n v="22.9"/>
    <d v="2025-03-04T00:00:00"/>
    <d v="2025-03-06T00:00:00"/>
    <s v="F"/>
    <x v="2"/>
    <n v="5"/>
    <x v="0"/>
    <x v="8"/>
    <x v="1"/>
    <x v="9"/>
    <x v="2"/>
  </r>
  <r>
    <s v="TX501701"/>
    <x v="6"/>
    <x v="12"/>
    <n v="105.9"/>
    <n v="423.6"/>
    <d v="2025-03-04T00:00:00"/>
    <d v="2025-03-05T00:00:00"/>
    <s v="F"/>
    <x v="1"/>
    <n v="5"/>
    <x v="0"/>
    <x v="17"/>
    <x v="3"/>
    <x v="9"/>
    <x v="2"/>
  </r>
  <r>
    <s v="TX501702"/>
    <x v="1"/>
    <x v="11"/>
    <n v="37.4"/>
    <n v="336.59999999999997"/>
    <d v="2025-03-04T00:00:00"/>
    <d v="2025-03-08T00:00:00"/>
    <s v="M"/>
    <x v="1"/>
    <n v="4"/>
    <x v="0"/>
    <x v="11"/>
    <x v="5"/>
    <x v="9"/>
    <x v="1"/>
  </r>
  <r>
    <s v="TX501703"/>
    <x v="18"/>
    <x v="1"/>
    <n v="79"/>
    <n v="158"/>
    <d v="2025-03-04T00:00:00"/>
    <d v="2025-03-05T00:00:00"/>
    <s v="M"/>
    <x v="2"/>
    <n v="4"/>
    <x v="0"/>
    <x v="28"/>
    <x v="3"/>
    <x v="9"/>
    <x v="1"/>
  </r>
  <r>
    <s v="TX501704"/>
    <x v="0"/>
    <x v="2"/>
    <n v="19.3"/>
    <n v="57.900000000000006"/>
    <d v="2025-03-04T00:00:00"/>
    <d v="2025-03-05T00:00:00"/>
    <s v="F"/>
    <x v="4"/>
    <n v="4"/>
    <x v="0"/>
    <x v="21"/>
    <x v="3"/>
    <x v="9"/>
    <x v="2"/>
  </r>
  <r>
    <s v="TX501705"/>
    <x v="0"/>
    <x v="0"/>
    <n v="24"/>
    <n v="24"/>
    <d v="2025-03-04T00:00:00"/>
    <d v="2025-03-05T00:00:00"/>
    <s v="F"/>
    <x v="1"/>
    <n v="4"/>
    <x v="0"/>
    <x v="1"/>
    <x v="3"/>
    <x v="9"/>
    <x v="2"/>
  </r>
  <r>
    <s v="TX501706"/>
    <x v="6"/>
    <x v="9"/>
    <n v="71.3"/>
    <n v="356.5"/>
    <d v="2025-03-04T00:00:00"/>
    <d v="2025-03-07T00:00:00"/>
    <s v="F"/>
    <x v="2"/>
    <n v="4"/>
    <x v="0"/>
    <x v="2"/>
    <x v="2"/>
    <x v="9"/>
    <x v="2"/>
  </r>
  <r>
    <s v="TX501707"/>
    <x v="5"/>
    <x v="1"/>
    <n v="166.2"/>
    <n v="332.4"/>
    <d v="2025-03-04T00:00:00"/>
    <d v="2025-03-05T00:00:00"/>
    <s v="M"/>
    <x v="0"/>
    <n v="5"/>
    <x v="0"/>
    <x v="50"/>
    <x v="3"/>
    <x v="9"/>
    <x v="1"/>
  </r>
  <r>
    <s v="TX501708"/>
    <x v="6"/>
    <x v="0"/>
    <n v="81"/>
    <n v="81"/>
    <d v="2025-03-04T00:00:00"/>
    <d v="2025-03-05T00:00:00"/>
    <s v="F"/>
    <x v="2"/>
    <n v="3"/>
    <x v="0"/>
    <x v="3"/>
    <x v="3"/>
    <x v="9"/>
    <x v="2"/>
  </r>
  <r>
    <s v="TX501709"/>
    <x v="10"/>
    <x v="13"/>
    <n v="38.5"/>
    <n v="231"/>
    <d v="2025-03-04T00:00:00"/>
    <d v="2025-03-08T00:00:00"/>
    <s v="F"/>
    <x v="0"/>
    <n v="4"/>
    <x v="0"/>
    <x v="3"/>
    <x v="5"/>
    <x v="9"/>
    <x v="2"/>
  </r>
  <r>
    <s v="TX501710"/>
    <x v="6"/>
    <x v="0"/>
    <n v="86.1"/>
    <n v="86.1"/>
    <d v="2025-03-04T00:00:00"/>
    <d v="2025-03-06T00:00:00"/>
    <s v="F"/>
    <x v="3"/>
    <n v="4"/>
    <x v="0"/>
    <x v="3"/>
    <x v="1"/>
    <x v="9"/>
    <x v="2"/>
  </r>
  <r>
    <s v="TX501711"/>
    <x v="2"/>
    <x v="9"/>
    <n v="51"/>
    <n v="255"/>
    <d v="2025-03-04T00:00:00"/>
    <d v="2025-03-05T00:00:00"/>
    <s v="M"/>
    <x v="0"/>
    <n v="3"/>
    <x v="0"/>
    <x v="3"/>
    <x v="3"/>
    <x v="9"/>
    <x v="1"/>
  </r>
  <r>
    <s v="TX501712"/>
    <x v="3"/>
    <x v="9"/>
    <n v="115.4"/>
    <n v="577"/>
    <d v="2025-03-04T00:00:00"/>
    <d v="2025-03-05T00:00:00"/>
    <s v="M"/>
    <x v="0"/>
    <n v="4"/>
    <x v="0"/>
    <x v="3"/>
    <x v="3"/>
    <x v="9"/>
    <x v="1"/>
  </r>
  <r>
    <s v="TX501713"/>
    <x v="6"/>
    <x v="12"/>
    <n v="176.5"/>
    <n v="706"/>
    <d v="2025-03-04T00:00:00"/>
    <d v="2025-03-05T00:00:00"/>
    <s v="F"/>
    <x v="2"/>
    <n v="5"/>
    <x v="0"/>
    <x v="3"/>
    <x v="3"/>
    <x v="9"/>
    <x v="2"/>
  </r>
  <r>
    <s v="TX501714"/>
    <x v="7"/>
    <x v="2"/>
    <n v="48.9"/>
    <n v="146.69999999999999"/>
    <d v="2025-03-04T00:00:00"/>
    <d v="2025-03-05T00:00:00"/>
    <s v="M"/>
    <x v="4"/>
    <n v="4"/>
    <x v="0"/>
    <x v="3"/>
    <x v="3"/>
    <x v="9"/>
    <x v="1"/>
  </r>
  <r>
    <s v="TX501715"/>
    <x v="8"/>
    <x v="2"/>
    <n v="18.100000000000001"/>
    <n v="54.300000000000004"/>
    <d v="2025-03-04T00:00:00"/>
    <d v="2025-03-11T00:00:00"/>
    <s v="F"/>
    <x v="1"/>
    <n v="5"/>
    <x v="0"/>
    <x v="29"/>
    <x v="6"/>
    <x v="9"/>
    <x v="2"/>
  </r>
  <r>
    <s v="TX501716"/>
    <x v="2"/>
    <x v="1"/>
    <n v="118.5"/>
    <n v="237"/>
    <d v="2025-03-04T00:00:00"/>
    <d v="2025-03-07T00:00:00"/>
    <s v="M"/>
    <x v="1"/>
    <n v="5"/>
    <x v="0"/>
    <x v="16"/>
    <x v="2"/>
    <x v="9"/>
    <x v="1"/>
  </r>
  <r>
    <s v="TX501717"/>
    <x v="15"/>
    <x v="3"/>
    <n v="59.1"/>
    <n v="413.7"/>
    <d v="2025-03-04T00:00:00"/>
    <d v="2025-03-05T00:00:00"/>
    <s v="F"/>
    <x v="3"/>
    <n v="4"/>
    <x v="0"/>
    <x v="25"/>
    <x v="3"/>
    <x v="9"/>
    <x v="2"/>
  </r>
  <r>
    <s v="TX501718"/>
    <x v="4"/>
    <x v="0"/>
    <n v="21.2"/>
    <n v="21.2"/>
    <d v="2025-03-04T00:00:00"/>
    <d v="2025-03-05T00:00:00"/>
    <s v="F"/>
    <x v="0"/>
    <n v="3"/>
    <x v="0"/>
    <x v="6"/>
    <x v="3"/>
    <x v="9"/>
    <x v="2"/>
  </r>
  <r>
    <s v="TX501719"/>
    <x v="6"/>
    <x v="1"/>
    <n v="68.8"/>
    <n v="137.6"/>
    <d v="2025-03-04T00:00:00"/>
    <d v="2025-03-09T00:00:00"/>
    <s v="F"/>
    <x v="3"/>
    <n v="5"/>
    <x v="0"/>
    <x v="6"/>
    <x v="0"/>
    <x v="9"/>
    <x v="2"/>
  </r>
  <r>
    <s v="TX501720"/>
    <x v="6"/>
    <x v="1"/>
    <n v="65.400000000000006"/>
    <n v="130.80000000000001"/>
    <d v="2025-03-04T00:00:00"/>
    <d v="2025-03-08T00:00:00"/>
    <s v="F"/>
    <x v="0"/>
    <n v="4"/>
    <x v="0"/>
    <x v="6"/>
    <x v="5"/>
    <x v="9"/>
    <x v="2"/>
  </r>
  <r>
    <s v="TX501721"/>
    <x v="12"/>
    <x v="9"/>
    <n v="66.3"/>
    <n v="331.5"/>
    <d v="2025-03-05T00:00:00"/>
    <d v="2025-03-08T00:00:00"/>
    <s v="F"/>
    <x v="4"/>
    <n v="4"/>
    <x v="0"/>
    <x v="6"/>
    <x v="2"/>
    <x v="9"/>
    <x v="2"/>
  </r>
  <r>
    <s v="TX501722"/>
    <x v="6"/>
    <x v="2"/>
    <n v="97.5"/>
    <n v="292.5"/>
    <d v="2025-03-05T00:00:00"/>
    <d v="2025-03-05T00:00:00"/>
    <s v="M"/>
    <x v="3"/>
    <n v="4"/>
    <x v="0"/>
    <x v="8"/>
    <x v="7"/>
    <x v="9"/>
    <x v="1"/>
  </r>
  <r>
    <s v="TX501723"/>
    <x v="1"/>
    <x v="1"/>
    <n v="44"/>
    <n v="88"/>
    <d v="2025-03-05T00:00:00"/>
    <d v="2025-03-08T00:00:00"/>
    <s v="F"/>
    <x v="1"/>
    <n v="5"/>
    <x v="0"/>
    <x v="8"/>
    <x v="2"/>
    <x v="9"/>
    <x v="2"/>
  </r>
  <r>
    <s v="TX501724"/>
    <x v="0"/>
    <x v="0"/>
    <n v="21.9"/>
    <n v="21.9"/>
    <d v="2025-03-05T00:00:00"/>
    <d v="2025-03-06T00:00:00"/>
    <s v="M"/>
    <x v="0"/>
    <n v="4"/>
    <x v="0"/>
    <x v="8"/>
    <x v="3"/>
    <x v="9"/>
    <x v="1"/>
  </r>
  <r>
    <s v="TX501725"/>
    <x v="4"/>
    <x v="3"/>
    <n v="21.5"/>
    <n v="150.5"/>
    <d v="2025-03-05T00:00:00"/>
    <d v="2025-03-07T00:00:00"/>
    <s v="F"/>
    <x v="1"/>
    <n v="5"/>
    <x v="0"/>
    <x v="9"/>
    <x v="1"/>
    <x v="9"/>
    <x v="2"/>
  </r>
  <r>
    <s v="TX501726"/>
    <x v="12"/>
    <x v="13"/>
    <n v="133"/>
    <n v="798"/>
    <d v="2025-03-05T00:00:00"/>
    <d v="2025-03-06T00:00:00"/>
    <s v="O"/>
    <x v="0"/>
    <n v="5"/>
    <x v="0"/>
    <x v="10"/>
    <x v="3"/>
    <x v="9"/>
    <x v="3"/>
  </r>
  <r>
    <s v="TX501727"/>
    <x v="8"/>
    <x v="1"/>
    <n v="47.7"/>
    <n v="95.4"/>
    <d v="2025-03-05T00:00:00"/>
    <d v="2025-03-09T00:00:00"/>
    <s v="M"/>
    <x v="0"/>
    <n v="5"/>
    <x v="0"/>
    <x v="10"/>
    <x v="5"/>
    <x v="9"/>
    <x v="1"/>
  </r>
  <r>
    <s v="TX501728"/>
    <x v="16"/>
    <x v="2"/>
    <n v="58.1"/>
    <n v="174.3"/>
    <d v="2025-03-05T00:00:00"/>
    <d v="2025-03-06T00:00:00"/>
    <s v="F"/>
    <x v="0"/>
    <n v="4"/>
    <x v="0"/>
    <x v="11"/>
    <x v="3"/>
    <x v="9"/>
    <x v="2"/>
  </r>
  <r>
    <s v="TX501729"/>
    <x v="12"/>
    <x v="12"/>
    <n v="66.599999999999994"/>
    <n v="266.39999999999998"/>
    <d v="2025-03-05T00:00:00"/>
    <d v="2025-03-06T00:00:00"/>
    <s v=""/>
    <x v="0"/>
    <n v="4"/>
    <x v="0"/>
    <x v="11"/>
    <x v="3"/>
    <x v="9"/>
    <x v="0"/>
  </r>
  <r>
    <s v="TX501730"/>
    <x v="9"/>
    <x v="0"/>
    <n v="24.1"/>
    <n v="24.1"/>
    <d v="2025-03-05T00:00:00"/>
    <d v="2025-03-08T00:00:00"/>
    <s v="M"/>
    <x v="2"/>
    <n v="3"/>
    <x v="0"/>
    <x v="19"/>
    <x v="2"/>
    <x v="9"/>
    <x v="1"/>
  </r>
  <r>
    <s v="TX501731"/>
    <x v="10"/>
    <x v="9"/>
    <n v="51.5"/>
    <n v="257.5"/>
    <d v="2025-03-05T00:00:00"/>
    <d v="2025-03-10T00:00:00"/>
    <s v="F"/>
    <x v="0"/>
    <n v="4"/>
    <x v="0"/>
    <x v="13"/>
    <x v="0"/>
    <x v="9"/>
    <x v="2"/>
  </r>
  <r>
    <s v="TX501732"/>
    <x v="0"/>
    <x v="5"/>
    <n v="25.8"/>
    <n v="283.8"/>
    <d v="2025-03-05T00:00:00"/>
    <d v="2025-03-09T00:00:00"/>
    <s v="F"/>
    <x v="3"/>
    <n v="2"/>
    <x v="0"/>
    <x v="21"/>
    <x v="5"/>
    <x v="9"/>
    <x v="2"/>
  </r>
  <r>
    <s v="TX501733"/>
    <x v="9"/>
    <x v="12"/>
    <n v="47.7"/>
    <n v="190.8"/>
    <d v="2025-03-05T00:00:00"/>
    <d v="2025-03-05T00:00:00"/>
    <s v="F"/>
    <x v="0"/>
    <n v="3"/>
    <x v="0"/>
    <x v="21"/>
    <x v="7"/>
    <x v="9"/>
    <x v="2"/>
  </r>
  <r>
    <s v="TX501734"/>
    <x v="7"/>
    <x v="9"/>
    <n v="73.599999999999994"/>
    <n v="368"/>
    <d v="2025-03-05T00:00:00"/>
    <d v="2025-03-09T00:00:00"/>
    <s v="M"/>
    <x v="1"/>
    <n v="4"/>
    <x v="0"/>
    <x v="21"/>
    <x v="5"/>
    <x v="9"/>
    <x v="1"/>
  </r>
  <r>
    <s v="TX501735"/>
    <x v="5"/>
    <x v="3"/>
    <n v="91.2"/>
    <n v="638.4"/>
    <d v="2025-03-05T00:00:00"/>
    <d v="2025-03-06T00:00:00"/>
    <s v="M"/>
    <x v="1"/>
    <n v="5"/>
    <x v="0"/>
    <x v="21"/>
    <x v="3"/>
    <x v="9"/>
    <x v="1"/>
  </r>
  <r>
    <s v="TX501736"/>
    <x v="1"/>
    <x v="8"/>
    <n v="36.200000000000003"/>
    <n v="289.60000000000002"/>
    <d v="2025-03-05T00:00:00"/>
    <d v="2025-03-05T00:00:00"/>
    <s v="M"/>
    <x v="2"/>
    <n v="5"/>
    <x v="0"/>
    <x v="1"/>
    <x v="7"/>
    <x v="9"/>
    <x v="1"/>
  </r>
  <r>
    <s v="TX501737"/>
    <x v="9"/>
    <x v="8"/>
    <n v="98"/>
    <n v="784"/>
    <d v="2025-03-05T00:00:00"/>
    <d v="2025-03-09T00:00:00"/>
    <s v="F"/>
    <x v="2"/>
    <n v="4"/>
    <x v="0"/>
    <x v="2"/>
    <x v="5"/>
    <x v="9"/>
    <x v="2"/>
  </r>
  <r>
    <s v="TX501738"/>
    <x v="1"/>
    <x v="8"/>
    <n v="43.6"/>
    <n v="348.8"/>
    <d v="2025-03-05T00:00:00"/>
    <d v="2025-03-06T00:00:00"/>
    <s v="F"/>
    <x v="2"/>
    <n v="4"/>
    <x v="0"/>
    <x v="22"/>
    <x v="3"/>
    <x v="9"/>
    <x v="2"/>
  </r>
  <r>
    <s v="TX501739"/>
    <x v="8"/>
    <x v="7"/>
    <n v="37.799999999999997"/>
    <n v="378"/>
    <d v="2025-03-05T00:00:00"/>
    <d v="2025-03-05T00:00:00"/>
    <s v="O"/>
    <x v="0"/>
    <n v="4"/>
    <x v="0"/>
    <x v="50"/>
    <x v="7"/>
    <x v="9"/>
    <x v="3"/>
  </r>
  <r>
    <s v="TX501740"/>
    <x v="17"/>
    <x v="9"/>
    <n v="63.7"/>
    <n v="318.5"/>
    <d v="2025-03-05T00:00:00"/>
    <d v="2025-03-08T00:00:00"/>
    <s v="F"/>
    <x v="2"/>
    <n v="3"/>
    <x v="0"/>
    <x v="3"/>
    <x v="2"/>
    <x v="9"/>
    <x v="2"/>
  </r>
  <r>
    <s v="TX501741"/>
    <x v="5"/>
    <x v="11"/>
    <n v="62.9"/>
    <n v="566.1"/>
    <d v="2025-03-05T00:00:00"/>
    <d v="2025-03-10T00:00:00"/>
    <s v="M"/>
    <x v="3"/>
    <n v="5"/>
    <x v="0"/>
    <x v="3"/>
    <x v="0"/>
    <x v="9"/>
    <x v="1"/>
  </r>
  <r>
    <s v="TX501742"/>
    <x v="6"/>
    <x v="3"/>
    <n v="61.7"/>
    <n v="431.90000000000003"/>
    <d v="2025-03-05T00:00:00"/>
    <d v="2025-03-08T00:00:00"/>
    <s v="F"/>
    <x v="2"/>
    <n v="5"/>
    <x v="0"/>
    <x v="3"/>
    <x v="2"/>
    <x v="9"/>
    <x v="2"/>
  </r>
  <r>
    <s v="TX501743"/>
    <x v="18"/>
    <x v="21"/>
    <n v="36.5"/>
    <n v="511"/>
    <d v="2025-03-05T00:00:00"/>
    <d v="2025-03-06T00:00:00"/>
    <s v="M"/>
    <x v="0"/>
    <n v="5"/>
    <x v="0"/>
    <x v="3"/>
    <x v="3"/>
    <x v="9"/>
    <x v="1"/>
  </r>
  <r>
    <s v="TX501744"/>
    <x v="11"/>
    <x v="2"/>
    <n v="98.6"/>
    <n v="295.79999999999995"/>
    <d v="2025-03-05T00:00:00"/>
    <d v="2025-03-08T00:00:00"/>
    <s v="O"/>
    <x v="0"/>
    <n v="2"/>
    <x v="0"/>
    <x v="3"/>
    <x v="2"/>
    <x v="9"/>
    <x v="3"/>
  </r>
  <r>
    <s v="TX501745"/>
    <x v="8"/>
    <x v="1"/>
    <n v="19.2"/>
    <n v="38.4"/>
    <d v="2025-03-05T00:00:00"/>
    <d v="2025-03-15T00:00:00"/>
    <s v="M"/>
    <x v="0"/>
    <n v="4"/>
    <x v="0"/>
    <x v="3"/>
    <x v="14"/>
    <x v="9"/>
    <x v="1"/>
  </r>
  <r>
    <s v="TX501746"/>
    <x v="3"/>
    <x v="13"/>
    <n v="55.6"/>
    <n v="333.6"/>
    <d v="2025-03-05T00:00:00"/>
    <d v="2025-03-09T00:00:00"/>
    <s v="F"/>
    <x v="0"/>
    <n v="5"/>
    <x v="0"/>
    <x v="3"/>
    <x v="5"/>
    <x v="9"/>
    <x v="2"/>
  </r>
  <r>
    <s v="TX501747"/>
    <x v="5"/>
    <x v="13"/>
    <n v="56.4"/>
    <n v="338.4"/>
    <d v="2025-03-05T00:00:00"/>
    <d v="2025-03-06T00:00:00"/>
    <s v="F"/>
    <x v="1"/>
    <n v="4"/>
    <x v="0"/>
    <x v="3"/>
    <x v="3"/>
    <x v="9"/>
    <x v="2"/>
  </r>
  <r>
    <s v="TX501748"/>
    <x v="4"/>
    <x v="8"/>
    <n v="43.1"/>
    <n v="344.8"/>
    <d v="2025-03-05T00:00:00"/>
    <d v="2025-03-09T00:00:00"/>
    <s v="F"/>
    <x v="4"/>
    <n v="4"/>
    <x v="0"/>
    <x v="3"/>
    <x v="5"/>
    <x v="9"/>
    <x v="2"/>
  </r>
  <r>
    <s v="TX501749"/>
    <x v="1"/>
    <x v="1"/>
    <n v="77.3"/>
    <n v="154.6"/>
    <d v="2025-03-05T00:00:00"/>
    <d v="2025-03-07T00:00:00"/>
    <s v="M"/>
    <x v="0"/>
    <n v="4"/>
    <x v="0"/>
    <x v="6"/>
    <x v="1"/>
    <x v="9"/>
    <x v="1"/>
  </r>
  <r>
    <s v="TX501750"/>
    <x v="9"/>
    <x v="8"/>
    <n v="38.299999999999997"/>
    <n v="306.39999999999998"/>
    <d v="2025-03-05T00:00:00"/>
    <d v="2025-03-06T00:00:00"/>
    <s v="M"/>
    <x v="0"/>
    <n v="4"/>
    <x v="0"/>
    <x v="7"/>
    <x v="3"/>
    <x v="9"/>
    <x v="1"/>
  </r>
  <r>
    <s v="TX501751"/>
    <x v="0"/>
    <x v="3"/>
    <n v="16.8"/>
    <n v="117.60000000000001"/>
    <d v="2025-03-05T00:00:00"/>
    <d v="2025-03-08T00:00:00"/>
    <s v="M"/>
    <x v="2"/>
    <n v="3"/>
    <x v="0"/>
    <x v="8"/>
    <x v="2"/>
    <x v="9"/>
    <x v="1"/>
  </r>
  <r>
    <s v="TX501752"/>
    <x v="2"/>
    <x v="2"/>
    <n v="63.2"/>
    <n v="189.60000000000002"/>
    <d v="2025-03-05T00:00:00"/>
    <d v="2025-03-06T00:00:00"/>
    <s v="F"/>
    <x v="0"/>
    <n v="5"/>
    <x v="0"/>
    <x v="8"/>
    <x v="3"/>
    <x v="9"/>
    <x v="2"/>
  </r>
  <r>
    <s v="TX501753"/>
    <x v="14"/>
    <x v="44"/>
    <n v="39.700000000000003"/>
    <n v="913.1"/>
    <d v="2025-03-05T00:00:00"/>
    <d v="2025-03-06T00:00:00"/>
    <s v="M"/>
    <x v="0"/>
    <n v="4"/>
    <x v="0"/>
    <x v="8"/>
    <x v="3"/>
    <x v="9"/>
    <x v="1"/>
  </r>
  <r>
    <s v="TX501754"/>
    <x v="10"/>
    <x v="2"/>
    <n v="45.8"/>
    <n v="137.39999999999998"/>
    <d v="2025-03-05T00:00:00"/>
    <d v="2025-03-06T00:00:00"/>
    <s v="F"/>
    <x v="1"/>
    <n v="5"/>
    <x v="0"/>
    <x v="8"/>
    <x v="3"/>
    <x v="9"/>
    <x v="2"/>
  </r>
  <r>
    <s v="TX501755"/>
    <x v="0"/>
    <x v="13"/>
    <n v="12.4"/>
    <n v="74.400000000000006"/>
    <d v="2025-03-05T00:00:00"/>
    <d v="2025-03-08T00:00:00"/>
    <s v="M"/>
    <x v="0"/>
    <n v="4"/>
    <x v="0"/>
    <x v="8"/>
    <x v="2"/>
    <x v="9"/>
    <x v="1"/>
  </r>
  <r>
    <s v="TX501756"/>
    <x v="14"/>
    <x v="2"/>
    <n v="50.8"/>
    <n v="152.39999999999998"/>
    <d v="2025-03-06T00:00:00"/>
    <d v="2025-03-06T00:00:00"/>
    <s v="F"/>
    <x v="4"/>
    <n v="4"/>
    <x v="0"/>
    <x v="17"/>
    <x v="7"/>
    <x v="9"/>
    <x v="2"/>
  </r>
  <r>
    <s v="TX501757"/>
    <x v="9"/>
    <x v="0"/>
    <n v="76"/>
    <n v="76"/>
    <d v="2025-03-06T00:00:00"/>
    <d v="2025-03-10T00:00:00"/>
    <s v="O"/>
    <x v="2"/>
    <n v="5"/>
    <x v="0"/>
    <x v="17"/>
    <x v="5"/>
    <x v="9"/>
    <x v="3"/>
  </r>
  <r>
    <s v="TX501758"/>
    <x v="1"/>
    <x v="1"/>
    <n v="51.9"/>
    <n v="103.8"/>
    <d v="2025-03-06T00:00:00"/>
    <d v="2025-03-07T00:00:00"/>
    <s v="M"/>
    <x v="1"/>
    <n v="5"/>
    <x v="0"/>
    <x v="26"/>
    <x v="3"/>
    <x v="9"/>
    <x v="1"/>
  </r>
  <r>
    <s v="TX501759"/>
    <x v="2"/>
    <x v="1"/>
    <n v="93.4"/>
    <n v="186.8"/>
    <d v="2025-03-06T00:00:00"/>
    <d v="2025-03-13T00:00:00"/>
    <s v="M"/>
    <x v="0"/>
    <n v="1"/>
    <x v="0"/>
    <x v="11"/>
    <x v="6"/>
    <x v="9"/>
    <x v="1"/>
  </r>
  <r>
    <s v="TX501760"/>
    <x v="7"/>
    <x v="13"/>
    <n v="30.8"/>
    <n v="184.8"/>
    <d v="2025-03-06T00:00:00"/>
    <d v="2025-03-09T00:00:00"/>
    <s v="F"/>
    <x v="1"/>
    <n v="4"/>
    <x v="0"/>
    <x v="11"/>
    <x v="2"/>
    <x v="9"/>
    <x v="2"/>
  </r>
  <r>
    <s v="TX501761"/>
    <x v="2"/>
    <x v="0"/>
    <n v="143.19999999999999"/>
    <n v="143.19999999999999"/>
    <d v="2025-03-06T00:00:00"/>
    <d v="2025-03-09T00:00:00"/>
    <s v="M"/>
    <x v="2"/>
    <n v="4"/>
    <x v="0"/>
    <x v="11"/>
    <x v="2"/>
    <x v="9"/>
    <x v="1"/>
  </r>
  <r>
    <s v="TX501762"/>
    <x v="6"/>
    <x v="5"/>
    <n v="40.4"/>
    <n v="444.4"/>
    <d v="2025-03-06T00:00:00"/>
    <d v="2025-03-08T00:00:00"/>
    <s v="M"/>
    <x v="2"/>
    <n v="5"/>
    <x v="0"/>
    <x v="18"/>
    <x v="1"/>
    <x v="9"/>
    <x v="1"/>
  </r>
  <r>
    <s v="TX501763"/>
    <x v="2"/>
    <x v="10"/>
    <n v="131.5"/>
    <n v="2498.5"/>
    <d v="2025-03-06T00:00:00"/>
    <d v="2025-03-08T00:00:00"/>
    <s v="M"/>
    <x v="1"/>
    <n v="3"/>
    <x v="0"/>
    <x v="18"/>
    <x v="1"/>
    <x v="9"/>
    <x v="1"/>
  </r>
  <r>
    <s v="TX501764"/>
    <x v="18"/>
    <x v="3"/>
    <n v="61.6"/>
    <n v="431.2"/>
    <d v="2025-03-06T00:00:00"/>
    <d v="2025-03-07T00:00:00"/>
    <s v="M"/>
    <x v="2"/>
    <n v="4"/>
    <x v="0"/>
    <x v="21"/>
    <x v="3"/>
    <x v="9"/>
    <x v="1"/>
  </r>
  <r>
    <s v="TX501765"/>
    <x v="9"/>
    <x v="9"/>
    <n v="32.700000000000003"/>
    <n v="163.5"/>
    <d v="2025-03-06T00:00:00"/>
    <d v="2025-03-08T00:00:00"/>
    <s v="M"/>
    <x v="2"/>
    <n v="4"/>
    <x v="0"/>
    <x v="1"/>
    <x v="1"/>
    <x v="9"/>
    <x v="1"/>
  </r>
  <r>
    <s v="TX501766"/>
    <x v="0"/>
    <x v="7"/>
    <n v="13.7"/>
    <n v="137"/>
    <d v="2025-03-06T00:00:00"/>
    <d v="2025-03-07T00:00:00"/>
    <s v="M"/>
    <x v="0"/>
    <n v="5"/>
    <x v="0"/>
    <x v="3"/>
    <x v="3"/>
    <x v="9"/>
    <x v="1"/>
  </r>
  <r>
    <s v="TX501767"/>
    <x v="0"/>
    <x v="12"/>
    <n v="32.1"/>
    <n v="128.4"/>
    <d v="2025-03-06T00:00:00"/>
    <d v="2025-03-07T00:00:00"/>
    <s v="M"/>
    <x v="4"/>
    <n v="3"/>
    <x v="0"/>
    <x v="3"/>
    <x v="3"/>
    <x v="9"/>
    <x v="1"/>
  </r>
  <r>
    <s v="TX501768"/>
    <x v="14"/>
    <x v="8"/>
    <n v="12"/>
    <n v="96"/>
    <d v="2025-03-06T00:00:00"/>
    <d v="2025-03-07T00:00:00"/>
    <s v="M"/>
    <x v="1"/>
    <n v="4"/>
    <x v="0"/>
    <x v="24"/>
    <x v="3"/>
    <x v="9"/>
    <x v="1"/>
  </r>
  <r>
    <s v="TX501769"/>
    <x v="12"/>
    <x v="0"/>
    <n v="64.3"/>
    <n v="64.3"/>
    <d v="2025-03-06T00:00:00"/>
    <d v="2025-03-08T00:00:00"/>
    <s v="F"/>
    <x v="2"/>
    <n v="5"/>
    <x v="0"/>
    <x v="6"/>
    <x v="1"/>
    <x v="9"/>
    <x v="2"/>
  </r>
  <r>
    <s v="TX501770"/>
    <x v="1"/>
    <x v="2"/>
    <n v="58.2"/>
    <n v="174.60000000000002"/>
    <d v="2025-03-06T00:00:00"/>
    <d v="2025-03-08T00:00:00"/>
    <s v="F"/>
    <x v="1"/>
    <n v="5"/>
    <x v="0"/>
    <x v="6"/>
    <x v="1"/>
    <x v="9"/>
    <x v="2"/>
  </r>
  <r>
    <s v="TX501771"/>
    <x v="6"/>
    <x v="12"/>
    <n v="59.2"/>
    <n v="236.8"/>
    <d v="2025-03-06T00:00:00"/>
    <d v="2025-03-06T00:00:00"/>
    <s v="M"/>
    <x v="1"/>
    <n v="5"/>
    <x v="0"/>
    <x v="6"/>
    <x v="7"/>
    <x v="9"/>
    <x v="1"/>
  </r>
  <r>
    <s v="TX501772"/>
    <x v="10"/>
    <x v="5"/>
    <n v="35.6"/>
    <n v="391.6"/>
    <d v="2025-03-06T00:00:00"/>
    <d v="2025-03-13T00:00:00"/>
    <s v="M"/>
    <x v="0"/>
    <n v="5"/>
    <x v="0"/>
    <x v="8"/>
    <x v="6"/>
    <x v="9"/>
    <x v="1"/>
  </r>
  <r>
    <s v="TX501773"/>
    <x v="16"/>
    <x v="8"/>
    <n v="37"/>
    <n v="296"/>
    <d v="2025-03-06T00:00:00"/>
    <d v="2025-03-10T00:00:00"/>
    <s v="F"/>
    <x v="2"/>
    <n v="3"/>
    <x v="0"/>
    <x v="8"/>
    <x v="5"/>
    <x v="9"/>
    <x v="2"/>
  </r>
  <r>
    <s v="TX501774"/>
    <x v="1"/>
    <x v="15"/>
    <n v="80.8"/>
    <n v="1050.3999999999999"/>
    <d v="2025-03-06T00:00:00"/>
    <d v="2025-03-08T00:00:00"/>
    <s v="F"/>
    <x v="0"/>
    <n v="4"/>
    <x v="0"/>
    <x v="8"/>
    <x v="1"/>
    <x v="9"/>
    <x v="2"/>
  </r>
  <r>
    <s v="TX501775"/>
    <x v="8"/>
    <x v="1"/>
    <n v="63.2"/>
    <n v="126.4"/>
    <d v="2025-03-06T00:00:00"/>
    <d v="2025-03-07T00:00:00"/>
    <s v="M"/>
    <x v="0"/>
    <n v="3"/>
    <x v="0"/>
    <x v="8"/>
    <x v="3"/>
    <x v="9"/>
    <x v="1"/>
  </r>
  <r>
    <s v="TX501776"/>
    <x v="3"/>
    <x v="1"/>
    <n v="40.799999999999997"/>
    <n v="81.599999999999994"/>
    <d v="2025-03-06T00:00:00"/>
    <d v="2025-03-08T00:00:00"/>
    <s v="M"/>
    <x v="0"/>
    <n v="3"/>
    <x v="0"/>
    <x v="17"/>
    <x v="1"/>
    <x v="9"/>
    <x v="1"/>
  </r>
  <r>
    <s v="TX501777"/>
    <x v="13"/>
    <x v="13"/>
    <n v="25.7"/>
    <n v="154.19999999999999"/>
    <d v="2025-03-06T00:00:00"/>
    <d v="2025-03-08T00:00:00"/>
    <s v="M"/>
    <x v="4"/>
    <n v="4"/>
    <x v="0"/>
    <x v="18"/>
    <x v="1"/>
    <x v="9"/>
    <x v="1"/>
  </r>
  <r>
    <s v="TX501778"/>
    <x v="16"/>
    <x v="1"/>
    <n v="49.9"/>
    <n v="99.8"/>
    <d v="2025-03-06T00:00:00"/>
    <d v="2025-03-09T00:00:00"/>
    <s v="M"/>
    <x v="0"/>
    <n v="4"/>
    <x v="0"/>
    <x v="20"/>
    <x v="2"/>
    <x v="9"/>
    <x v="1"/>
  </r>
  <r>
    <s v="TX501779"/>
    <x v="8"/>
    <x v="1"/>
    <n v="20.2"/>
    <n v="40.4"/>
    <d v="2025-03-06T00:00:00"/>
    <d v="2025-03-08T00:00:00"/>
    <s v="F"/>
    <x v="3"/>
    <n v="4"/>
    <x v="0"/>
    <x v="21"/>
    <x v="1"/>
    <x v="9"/>
    <x v="2"/>
  </r>
  <r>
    <s v="TX501780"/>
    <x v="6"/>
    <x v="2"/>
    <n v="48.4"/>
    <n v="145.19999999999999"/>
    <d v="2025-03-06T00:00:00"/>
    <d v="2025-03-11T00:00:00"/>
    <s v="F"/>
    <x v="0"/>
    <n v="5"/>
    <x v="0"/>
    <x v="21"/>
    <x v="0"/>
    <x v="9"/>
    <x v="2"/>
  </r>
  <r>
    <s v="TX501781"/>
    <x v="6"/>
    <x v="1"/>
    <n v="81"/>
    <n v="162"/>
    <d v="2025-03-06T00:00:00"/>
    <d v="2025-03-07T00:00:00"/>
    <s v="F"/>
    <x v="1"/>
    <n v="5"/>
    <x v="0"/>
    <x v="21"/>
    <x v="3"/>
    <x v="9"/>
    <x v="2"/>
  </r>
  <r>
    <s v="TX501782"/>
    <x v="8"/>
    <x v="13"/>
    <n v="19.899999999999999"/>
    <n v="119.39999999999999"/>
    <d v="2025-03-06T00:00:00"/>
    <d v="2025-03-09T00:00:00"/>
    <s v="F"/>
    <x v="0"/>
    <n v="3"/>
    <x v="0"/>
    <x v="22"/>
    <x v="2"/>
    <x v="9"/>
    <x v="2"/>
  </r>
  <r>
    <s v="TX501783"/>
    <x v="4"/>
    <x v="12"/>
    <n v="32.200000000000003"/>
    <n v="128.80000000000001"/>
    <d v="2025-03-06T00:00:00"/>
    <d v="2025-03-16T00:00:00"/>
    <s v="M"/>
    <x v="0"/>
    <n v="4"/>
    <x v="0"/>
    <x v="22"/>
    <x v="14"/>
    <x v="9"/>
    <x v="1"/>
  </r>
  <r>
    <s v="TX501784"/>
    <x v="5"/>
    <x v="2"/>
    <n v="76.8"/>
    <n v="230.39999999999998"/>
    <d v="2025-03-06T00:00:00"/>
    <d v="2025-03-07T00:00:00"/>
    <s v="F"/>
    <x v="0"/>
    <n v="3"/>
    <x v="0"/>
    <x v="3"/>
    <x v="3"/>
    <x v="9"/>
    <x v="2"/>
  </r>
  <r>
    <s v="TX501785"/>
    <x v="6"/>
    <x v="1"/>
    <n v="41.9"/>
    <n v="83.8"/>
    <d v="2025-03-06T00:00:00"/>
    <d v="2025-03-08T00:00:00"/>
    <s v="F"/>
    <x v="0"/>
    <n v="4"/>
    <x v="0"/>
    <x v="3"/>
    <x v="1"/>
    <x v="9"/>
    <x v="2"/>
  </r>
  <r>
    <s v="TX501786"/>
    <x v="0"/>
    <x v="3"/>
    <n v="34"/>
    <n v="238"/>
    <d v="2025-03-06T00:00:00"/>
    <d v="2025-03-08T00:00:00"/>
    <s v="F"/>
    <x v="1"/>
    <n v="5"/>
    <x v="0"/>
    <x v="3"/>
    <x v="1"/>
    <x v="9"/>
    <x v="2"/>
  </r>
  <r>
    <s v="TX501787"/>
    <x v="7"/>
    <x v="3"/>
    <n v="61.3"/>
    <n v="429.09999999999997"/>
    <d v="2025-03-06T00:00:00"/>
    <d v="2025-03-06T00:00:00"/>
    <s v="F"/>
    <x v="4"/>
    <n v="5"/>
    <x v="0"/>
    <x v="3"/>
    <x v="7"/>
    <x v="9"/>
    <x v="2"/>
  </r>
  <r>
    <s v="TX501788"/>
    <x v="9"/>
    <x v="0"/>
    <n v="54.7"/>
    <n v="54.7"/>
    <d v="2025-03-07T00:00:00"/>
    <d v="2025-03-08T00:00:00"/>
    <s v="M"/>
    <x v="0"/>
    <n v="3"/>
    <x v="0"/>
    <x v="3"/>
    <x v="3"/>
    <x v="9"/>
    <x v="1"/>
  </r>
  <r>
    <s v="TX501789"/>
    <x v="6"/>
    <x v="7"/>
    <n v="84.7"/>
    <n v="847"/>
    <d v="2025-03-07T00:00:00"/>
    <d v="2025-03-11T00:00:00"/>
    <s v="F"/>
    <x v="0"/>
    <n v="4"/>
    <x v="0"/>
    <x v="3"/>
    <x v="5"/>
    <x v="9"/>
    <x v="2"/>
  </r>
  <r>
    <s v="TX501790"/>
    <x v="1"/>
    <x v="2"/>
    <n v="93.4"/>
    <n v="280.20000000000005"/>
    <d v="2025-03-07T00:00:00"/>
    <d v="2025-03-11T00:00:00"/>
    <s v="F"/>
    <x v="3"/>
    <n v="4"/>
    <x v="0"/>
    <x v="3"/>
    <x v="5"/>
    <x v="9"/>
    <x v="2"/>
  </r>
  <r>
    <s v="TX501791"/>
    <x v="8"/>
    <x v="9"/>
    <n v="27"/>
    <n v="135"/>
    <d v="2025-03-07T00:00:00"/>
    <d v="2025-03-10T00:00:00"/>
    <s v="M"/>
    <x v="0"/>
    <n v="3"/>
    <x v="0"/>
    <x v="3"/>
    <x v="2"/>
    <x v="9"/>
    <x v="1"/>
  </r>
  <r>
    <s v="TX501792"/>
    <x v="0"/>
    <x v="12"/>
    <n v="10.9"/>
    <n v="43.6"/>
    <d v="2025-03-07T00:00:00"/>
    <d v="2025-03-08T00:00:00"/>
    <s v="M"/>
    <x v="2"/>
    <n v="4"/>
    <x v="0"/>
    <x v="3"/>
    <x v="3"/>
    <x v="9"/>
    <x v="1"/>
  </r>
  <r>
    <s v="TX501793"/>
    <x v="16"/>
    <x v="2"/>
    <n v="48"/>
    <n v="144"/>
    <d v="2025-03-07T00:00:00"/>
    <d v="2025-03-12T00:00:00"/>
    <s v="F"/>
    <x v="4"/>
    <n v="4"/>
    <x v="0"/>
    <x v="3"/>
    <x v="0"/>
    <x v="9"/>
    <x v="2"/>
  </r>
  <r>
    <s v="TX501794"/>
    <x v="5"/>
    <x v="1"/>
    <n v="67.900000000000006"/>
    <n v="135.80000000000001"/>
    <d v="2025-03-07T00:00:00"/>
    <d v="2025-03-08T00:00:00"/>
    <s v="M"/>
    <x v="0"/>
    <n v="5"/>
    <x v="0"/>
    <x v="23"/>
    <x v="3"/>
    <x v="9"/>
    <x v="1"/>
  </r>
  <r>
    <s v="TX501795"/>
    <x v="4"/>
    <x v="2"/>
    <n v="36"/>
    <n v="108"/>
    <d v="2025-03-07T00:00:00"/>
    <d v="2025-03-08T00:00:00"/>
    <s v="M"/>
    <x v="1"/>
    <n v="4"/>
    <x v="0"/>
    <x v="6"/>
    <x v="3"/>
    <x v="9"/>
    <x v="1"/>
  </r>
  <r>
    <s v="TX501796"/>
    <x v="2"/>
    <x v="0"/>
    <n v="128.80000000000001"/>
    <n v="128.80000000000001"/>
    <d v="2025-03-07T00:00:00"/>
    <d v="2025-03-08T00:00:00"/>
    <s v="M"/>
    <x v="4"/>
    <n v="5"/>
    <x v="0"/>
    <x v="6"/>
    <x v="3"/>
    <x v="9"/>
    <x v="1"/>
  </r>
  <r>
    <s v="TX501797"/>
    <x v="18"/>
    <x v="3"/>
    <n v="33.299999999999997"/>
    <n v="233.09999999999997"/>
    <d v="2025-03-07T00:00:00"/>
    <d v="2025-03-08T00:00:00"/>
    <s v="F"/>
    <x v="3"/>
    <n v="4"/>
    <x v="0"/>
    <x v="8"/>
    <x v="3"/>
    <x v="9"/>
    <x v="2"/>
  </r>
  <r>
    <s v="TX501798"/>
    <x v="10"/>
    <x v="2"/>
    <n v="37.799999999999997"/>
    <n v="113.39999999999999"/>
    <d v="2025-03-07T00:00:00"/>
    <d v="2025-03-09T00:00:00"/>
    <s v="M"/>
    <x v="1"/>
    <n v="5"/>
    <x v="0"/>
    <x v="8"/>
    <x v="1"/>
    <x v="9"/>
    <x v="1"/>
  </r>
  <r>
    <s v="TX501799"/>
    <x v="5"/>
    <x v="2"/>
    <n v="26"/>
    <n v="78"/>
    <d v="2025-03-07T00:00:00"/>
    <d v="2025-03-12T00:00:00"/>
    <s v="F"/>
    <x v="0"/>
    <n v="4"/>
    <x v="0"/>
    <x v="8"/>
    <x v="0"/>
    <x v="9"/>
    <x v="2"/>
  </r>
  <r>
    <s v="TX501800"/>
    <x v="8"/>
    <x v="10"/>
    <n v="28.3"/>
    <n v="537.70000000000005"/>
    <d v="2025-03-07T00:00:00"/>
    <d v="2025-03-08T00:00:00"/>
    <s v="F"/>
    <x v="3"/>
    <n v="2"/>
    <x v="0"/>
    <x v="8"/>
    <x v="3"/>
    <x v="9"/>
    <x v="2"/>
  </r>
  <r>
    <s v="TX501801"/>
    <x v="8"/>
    <x v="12"/>
    <n v="31.3"/>
    <n v="125.2"/>
    <d v="2025-03-07T00:00:00"/>
    <d v="2025-03-07T00:00:00"/>
    <s v="F"/>
    <x v="0"/>
    <n v="4"/>
    <x v="0"/>
    <x v="8"/>
    <x v="7"/>
    <x v="9"/>
    <x v="2"/>
  </r>
  <r>
    <s v="TX501802"/>
    <x v="7"/>
    <x v="2"/>
    <n v="69.5"/>
    <n v="208.5"/>
    <d v="2025-03-07T00:00:00"/>
    <d v="2025-03-08T00:00:00"/>
    <s v="F"/>
    <x v="3"/>
    <n v="5"/>
    <x v="0"/>
    <x v="8"/>
    <x v="3"/>
    <x v="9"/>
    <x v="2"/>
  </r>
  <r>
    <s v="TX501803"/>
    <x v="0"/>
    <x v="1"/>
    <n v="16.7"/>
    <n v="33.4"/>
    <d v="2025-03-07T00:00:00"/>
    <d v="2025-03-08T00:00:00"/>
    <s v="F"/>
    <x v="3"/>
    <n v="3"/>
    <x v="0"/>
    <x v="8"/>
    <x v="3"/>
    <x v="9"/>
    <x v="2"/>
  </r>
  <r>
    <s v="TX501804"/>
    <x v="9"/>
    <x v="1"/>
    <n v="62.6"/>
    <n v="125.2"/>
    <d v="2025-03-07T00:00:00"/>
    <d v="2025-03-08T00:00:00"/>
    <s v="M"/>
    <x v="2"/>
    <n v="5"/>
    <x v="0"/>
    <x v="9"/>
    <x v="3"/>
    <x v="9"/>
    <x v="1"/>
  </r>
  <r>
    <s v="TX501805"/>
    <x v="7"/>
    <x v="0"/>
    <n v="81.2"/>
    <n v="81.2"/>
    <d v="2025-03-07T00:00:00"/>
    <d v="2025-03-13T00:00:00"/>
    <s v="M"/>
    <x v="4"/>
    <n v="2"/>
    <x v="0"/>
    <x v="9"/>
    <x v="4"/>
    <x v="9"/>
    <x v="1"/>
  </r>
  <r>
    <s v="TX501806"/>
    <x v="0"/>
    <x v="7"/>
    <n v="12.7"/>
    <n v="127"/>
    <d v="2025-03-07T00:00:00"/>
    <d v="2025-03-08T00:00:00"/>
    <s v="F"/>
    <x v="0"/>
    <n v="5"/>
    <x v="0"/>
    <x v="9"/>
    <x v="3"/>
    <x v="9"/>
    <x v="2"/>
  </r>
  <r>
    <s v="TX501807"/>
    <x v="7"/>
    <x v="12"/>
    <n v="77.7"/>
    <n v="310.8"/>
    <d v="2025-03-08T00:00:00"/>
    <d v="2025-03-12T00:00:00"/>
    <s v="M"/>
    <x v="1"/>
    <n v="4"/>
    <x v="0"/>
    <x v="11"/>
    <x v="5"/>
    <x v="9"/>
    <x v="1"/>
  </r>
  <r>
    <s v="TX501808"/>
    <x v="5"/>
    <x v="1"/>
    <n v="37.299999999999997"/>
    <n v="74.599999999999994"/>
    <d v="2025-03-08T00:00:00"/>
    <d v="2025-03-09T00:00:00"/>
    <s v="F"/>
    <x v="0"/>
    <n v="5"/>
    <x v="0"/>
    <x v="18"/>
    <x v="3"/>
    <x v="9"/>
    <x v="2"/>
  </r>
  <r>
    <s v="TX501809"/>
    <x v="10"/>
    <x v="12"/>
    <n v="35.6"/>
    <n v="142.4"/>
    <d v="2025-03-08T00:00:00"/>
    <d v="2025-03-10T00:00:00"/>
    <s v="F"/>
    <x v="1"/>
    <n v="3"/>
    <x v="0"/>
    <x v="19"/>
    <x v="1"/>
    <x v="9"/>
    <x v="2"/>
  </r>
  <r>
    <s v="TX501810"/>
    <x v="2"/>
    <x v="2"/>
    <n v="95"/>
    <n v="285"/>
    <d v="2025-03-08T00:00:00"/>
    <d v="2025-03-12T00:00:00"/>
    <s v="F"/>
    <x v="2"/>
    <n v="5"/>
    <x v="0"/>
    <x v="56"/>
    <x v="5"/>
    <x v="9"/>
    <x v="2"/>
  </r>
  <r>
    <s v="TX501811"/>
    <x v="2"/>
    <x v="12"/>
    <n v="172.1"/>
    <n v="688.4"/>
    <d v="2025-03-08T00:00:00"/>
    <d v="2025-03-12T00:00:00"/>
    <s v="O"/>
    <x v="2"/>
    <n v="5"/>
    <x v="0"/>
    <x v="21"/>
    <x v="5"/>
    <x v="9"/>
    <x v="3"/>
  </r>
  <r>
    <s v="TX501812"/>
    <x v="2"/>
    <x v="1"/>
    <n v="233"/>
    <n v="466"/>
    <d v="2025-03-08T00:00:00"/>
    <d v="2025-03-11T00:00:00"/>
    <s v="F"/>
    <x v="1"/>
    <n v="4"/>
    <x v="0"/>
    <x v="21"/>
    <x v="2"/>
    <x v="9"/>
    <x v="2"/>
  </r>
  <r>
    <s v="TX501813"/>
    <x v="0"/>
    <x v="0"/>
    <n v="43.5"/>
    <n v="43.5"/>
    <d v="2025-03-08T00:00:00"/>
    <d v="2025-03-09T00:00:00"/>
    <s v="F"/>
    <x v="2"/>
    <n v="5"/>
    <x v="0"/>
    <x v="21"/>
    <x v="3"/>
    <x v="9"/>
    <x v="2"/>
  </r>
  <r>
    <s v="TX501814"/>
    <x v="9"/>
    <x v="1"/>
    <n v="47.8"/>
    <n v="95.6"/>
    <d v="2025-03-08T00:00:00"/>
    <d v="2025-03-11T00:00:00"/>
    <s v="M"/>
    <x v="4"/>
    <n v="5"/>
    <x v="0"/>
    <x v="1"/>
    <x v="2"/>
    <x v="9"/>
    <x v="1"/>
  </r>
  <r>
    <s v="TX501815"/>
    <x v="12"/>
    <x v="1"/>
    <n v="65.8"/>
    <n v="131.6"/>
    <d v="2025-03-08T00:00:00"/>
    <d v="2025-03-10T00:00:00"/>
    <s v="F"/>
    <x v="0"/>
    <n v="1"/>
    <x v="0"/>
    <x v="33"/>
    <x v="1"/>
    <x v="9"/>
    <x v="2"/>
  </r>
  <r>
    <s v="TX501816"/>
    <x v="15"/>
    <x v="5"/>
    <n v="38.700000000000003"/>
    <n v="425.70000000000005"/>
    <d v="2025-03-08T00:00:00"/>
    <d v="2025-03-08T00:00:00"/>
    <s v="M"/>
    <x v="0"/>
    <n v="4"/>
    <x v="0"/>
    <x v="22"/>
    <x v="7"/>
    <x v="9"/>
    <x v="1"/>
  </r>
  <r>
    <s v="TX501817"/>
    <x v="3"/>
    <x v="12"/>
    <n v="55.7"/>
    <n v="222.8"/>
    <d v="2025-03-08T00:00:00"/>
    <d v="2025-03-10T00:00:00"/>
    <s v="O"/>
    <x v="0"/>
    <n v="3"/>
    <x v="0"/>
    <x v="22"/>
    <x v="1"/>
    <x v="9"/>
    <x v="3"/>
  </r>
  <r>
    <s v="TX501818"/>
    <x v="7"/>
    <x v="1"/>
    <n v="102.4"/>
    <n v="204.8"/>
    <d v="2025-03-08T00:00:00"/>
    <d v="2025-03-08T00:00:00"/>
    <s v="F"/>
    <x v="1"/>
    <n v="4"/>
    <x v="0"/>
    <x v="3"/>
    <x v="7"/>
    <x v="9"/>
    <x v="2"/>
  </r>
  <r>
    <s v="TX501819"/>
    <x v="1"/>
    <x v="0"/>
    <n v="92"/>
    <n v="92"/>
    <d v="2025-03-08T00:00:00"/>
    <d v="2025-03-12T00:00:00"/>
    <s v=""/>
    <x v="2"/>
    <n v="4"/>
    <x v="0"/>
    <x v="3"/>
    <x v="5"/>
    <x v="9"/>
    <x v="0"/>
  </r>
  <r>
    <s v="TX501820"/>
    <x v="6"/>
    <x v="12"/>
    <n v="75.900000000000006"/>
    <n v="303.60000000000002"/>
    <d v="2025-03-08T00:00:00"/>
    <d v="2025-03-10T00:00:00"/>
    <s v="F"/>
    <x v="1"/>
    <n v="4"/>
    <x v="0"/>
    <x v="3"/>
    <x v="1"/>
    <x v="9"/>
    <x v="2"/>
  </r>
  <r>
    <s v="TX501821"/>
    <x v="1"/>
    <x v="12"/>
    <n v="36.200000000000003"/>
    <n v="144.80000000000001"/>
    <d v="2025-03-08T00:00:00"/>
    <d v="2025-03-09T00:00:00"/>
    <s v="F"/>
    <x v="1"/>
    <n v="4"/>
    <x v="0"/>
    <x v="3"/>
    <x v="3"/>
    <x v="9"/>
    <x v="2"/>
  </r>
  <r>
    <s v="TX501822"/>
    <x v="6"/>
    <x v="45"/>
    <n v="83.5"/>
    <n v="7264.5"/>
    <d v="2025-03-08T00:00:00"/>
    <d v="2025-03-10T00:00:00"/>
    <s v=""/>
    <x v="3"/>
    <n v="4"/>
    <x v="0"/>
    <x v="3"/>
    <x v="1"/>
    <x v="9"/>
    <x v="0"/>
  </r>
  <r>
    <s v="TX501823"/>
    <x v="19"/>
    <x v="4"/>
    <n v="52.4"/>
    <n v="628.79999999999995"/>
    <d v="2025-03-08T00:00:00"/>
    <d v="2025-03-08T00:00:00"/>
    <s v="M"/>
    <x v="2"/>
    <n v="4"/>
    <x v="0"/>
    <x v="3"/>
    <x v="7"/>
    <x v="9"/>
    <x v="1"/>
  </r>
  <r>
    <s v="TX501824"/>
    <x v="12"/>
    <x v="2"/>
    <n v="69.5"/>
    <n v="208.5"/>
    <d v="2025-03-08T00:00:00"/>
    <d v="2025-03-09T00:00:00"/>
    <s v="O"/>
    <x v="4"/>
    <n v="4"/>
    <x v="0"/>
    <x v="3"/>
    <x v="3"/>
    <x v="9"/>
    <x v="3"/>
  </r>
  <r>
    <s v="TX501825"/>
    <x v="0"/>
    <x v="0"/>
    <n v="15.5"/>
    <n v="15.5"/>
    <d v="2025-03-08T00:00:00"/>
    <d v="2025-03-10T00:00:00"/>
    <s v="M"/>
    <x v="0"/>
    <n v="4"/>
    <x v="0"/>
    <x v="3"/>
    <x v="1"/>
    <x v="9"/>
    <x v="1"/>
  </r>
  <r>
    <s v="TX501826"/>
    <x v="4"/>
    <x v="12"/>
    <n v="35.200000000000003"/>
    <n v="140.80000000000001"/>
    <d v="2025-03-08T00:00:00"/>
    <d v="2025-03-09T00:00:00"/>
    <s v="F"/>
    <x v="2"/>
    <n v="5"/>
    <x v="0"/>
    <x v="3"/>
    <x v="3"/>
    <x v="9"/>
    <x v="2"/>
  </r>
  <r>
    <s v="TX501827"/>
    <x v="8"/>
    <x v="13"/>
    <n v="34.6"/>
    <n v="207.60000000000002"/>
    <d v="2025-03-08T00:00:00"/>
    <d v="2025-03-09T00:00:00"/>
    <s v=""/>
    <x v="0"/>
    <n v="3"/>
    <x v="0"/>
    <x v="3"/>
    <x v="3"/>
    <x v="9"/>
    <x v="0"/>
  </r>
  <r>
    <s v="TX501828"/>
    <x v="4"/>
    <x v="0"/>
    <n v="21.3"/>
    <n v="21.3"/>
    <d v="2025-03-09T00:00:00"/>
    <d v="2025-03-10T00:00:00"/>
    <s v="M"/>
    <x v="2"/>
    <n v="3"/>
    <x v="0"/>
    <x v="3"/>
    <x v="3"/>
    <x v="10"/>
    <x v="1"/>
  </r>
  <r>
    <s v="TX501829"/>
    <x v="6"/>
    <x v="1"/>
    <n v="136.5"/>
    <n v="273"/>
    <d v="2025-03-09T00:00:00"/>
    <d v="2025-03-15T00:00:00"/>
    <s v="F"/>
    <x v="0"/>
    <n v="4"/>
    <x v="0"/>
    <x v="37"/>
    <x v="4"/>
    <x v="10"/>
    <x v="2"/>
  </r>
  <r>
    <s v="TX501830"/>
    <x v="9"/>
    <x v="3"/>
    <n v="30.7"/>
    <n v="214.9"/>
    <d v="2025-03-09T00:00:00"/>
    <d v="2025-03-10T00:00:00"/>
    <s v="M"/>
    <x v="2"/>
    <n v="5"/>
    <x v="0"/>
    <x v="25"/>
    <x v="3"/>
    <x v="10"/>
    <x v="1"/>
  </r>
  <r>
    <s v="TX501831"/>
    <x v="1"/>
    <x v="1"/>
    <n v="61.6"/>
    <n v="123.2"/>
    <d v="2025-03-09T00:00:00"/>
    <d v="2025-03-10T00:00:00"/>
    <s v="F"/>
    <x v="2"/>
    <n v="5"/>
    <x v="0"/>
    <x v="23"/>
    <x v="3"/>
    <x v="10"/>
    <x v="2"/>
  </r>
  <r>
    <s v="TX501832"/>
    <x v="6"/>
    <x v="12"/>
    <n v="54.3"/>
    <n v="217.2"/>
    <d v="2025-03-09T00:00:00"/>
    <d v="2025-03-11T00:00:00"/>
    <s v=""/>
    <x v="4"/>
    <n v="4"/>
    <x v="0"/>
    <x v="7"/>
    <x v="1"/>
    <x v="10"/>
    <x v="0"/>
  </r>
  <r>
    <s v="TX501833"/>
    <x v="1"/>
    <x v="1"/>
    <n v="44.1"/>
    <n v="88.2"/>
    <d v="2025-03-09T00:00:00"/>
    <d v="2025-03-21T00:00:00"/>
    <s v="F"/>
    <x v="0"/>
    <n v="5"/>
    <x v="0"/>
    <x v="8"/>
    <x v="13"/>
    <x v="10"/>
    <x v="2"/>
  </r>
  <r>
    <s v="TX501834"/>
    <x v="8"/>
    <x v="12"/>
    <n v="43.5"/>
    <n v="174"/>
    <d v="2025-03-09T00:00:00"/>
    <d v="2025-03-15T00:00:00"/>
    <s v="M"/>
    <x v="3"/>
    <n v="4"/>
    <x v="0"/>
    <x v="8"/>
    <x v="4"/>
    <x v="10"/>
    <x v="1"/>
  </r>
  <r>
    <s v="TX501835"/>
    <x v="8"/>
    <x v="2"/>
    <n v="48.2"/>
    <n v="144.60000000000002"/>
    <d v="2025-03-09T00:00:00"/>
    <d v="2025-03-13T00:00:00"/>
    <s v="M"/>
    <x v="3"/>
    <n v="3"/>
    <x v="0"/>
    <x v="8"/>
    <x v="5"/>
    <x v="10"/>
    <x v="1"/>
  </r>
  <r>
    <s v="TX501836"/>
    <x v="19"/>
    <x v="0"/>
    <n v="13.7"/>
    <n v="13.7"/>
    <d v="2025-03-09T00:00:00"/>
    <d v="2025-03-10T00:00:00"/>
    <s v="F"/>
    <x v="2"/>
    <n v="5"/>
    <x v="0"/>
    <x v="8"/>
    <x v="3"/>
    <x v="10"/>
    <x v="2"/>
  </r>
  <r>
    <s v="TX501837"/>
    <x v="2"/>
    <x v="1"/>
    <n v="110.5"/>
    <n v="221"/>
    <d v="2025-03-09T00:00:00"/>
    <d v="2025-03-10T00:00:00"/>
    <s v="F"/>
    <x v="0"/>
    <n v="3"/>
    <x v="0"/>
    <x v="8"/>
    <x v="3"/>
    <x v="10"/>
    <x v="2"/>
  </r>
  <r>
    <s v="TX501838"/>
    <x v="8"/>
    <x v="2"/>
    <n v="26"/>
    <n v="78"/>
    <d v="2025-03-09T00:00:00"/>
    <d v="2025-03-14T00:00:00"/>
    <s v="F"/>
    <x v="1"/>
    <n v="3"/>
    <x v="0"/>
    <x v="8"/>
    <x v="0"/>
    <x v="10"/>
    <x v="2"/>
  </r>
  <r>
    <s v="TX501839"/>
    <x v="2"/>
    <x v="7"/>
    <n v="140.69999999999999"/>
    <n v="1407"/>
    <d v="2025-03-09T00:00:00"/>
    <d v="2025-03-15T00:00:00"/>
    <s v="M"/>
    <x v="3"/>
    <n v="3"/>
    <x v="0"/>
    <x v="8"/>
    <x v="4"/>
    <x v="10"/>
    <x v="1"/>
  </r>
  <r>
    <s v="TX501840"/>
    <x v="17"/>
    <x v="1"/>
    <n v="41.7"/>
    <n v="83.4"/>
    <d v="2025-03-09T00:00:00"/>
    <d v="2025-03-17T00:00:00"/>
    <s v="F"/>
    <x v="0"/>
    <n v="2"/>
    <x v="0"/>
    <x v="8"/>
    <x v="9"/>
    <x v="10"/>
    <x v="2"/>
  </r>
  <r>
    <s v="TX501841"/>
    <x v="2"/>
    <x v="1"/>
    <n v="135.1"/>
    <n v="270.2"/>
    <d v="2025-03-09T00:00:00"/>
    <d v="2025-03-10T00:00:00"/>
    <s v="M"/>
    <x v="0"/>
    <n v="5"/>
    <x v="0"/>
    <x v="17"/>
    <x v="3"/>
    <x v="10"/>
    <x v="1"/>
  </r>
  <r>
    <s v="TX501842"/>
    <x v="12"/>
    <x v="32"/>
    <n v="95.5"/>
    <n v="2101"/>
    <d v="2025-03-09T00:00:00"/>
    <d v="2025-03-10T00:00:00"/>
    <s v="F"/>
    <x v="4"/>
    <n v="2"/>
    <x v="0"/>
    <x v="26"/>
    <x v="3"/>
    <x v="10"/>
    <x v="2"/>
  </r>
  <r>
    <s v="TX501843"/>
    <x v="15"/>
    <x v="0"/>
    <n v="25.5"/>
    <n v="25.5"/>
    <d v="2025-03-09T00:00:00"/>
    <d v="2025-03-12T00:00:00"/>
    <s v=""/>
    <x v="2"/>
    <n v="5"/>
    <x v="0"/>
    <x v="11"/>
    <x v="2"/>
    <x v="10"/>
    <x v="0"/>
  </r>
  <r>
    <s v="TX501844"/>
    <x v="1"/>
    <x v="0"/>
    <n v="42.6"/>
    <n v="42.6"/>
    <d v="2025-03-09T00:00:00"/>
    <d v="2025-03-13T00:00:00"/>
    <s v="F"/>
    <x v="0"/>
    <n v="4"/>
    <x v="0"/>
    <x v="11"/>
    <x v="5"/>
    <x v="10"/>
    <x v="2"/>
  </r>
  <r>
    <s v="TX501845"/>
    <x v="8"/>
    <x v="20"/>
    <n v="32.4"/>
    <n v="486"/>
    <d v="2025-03-09T00:00:00"/>
    <d v="2025-03-10T00:00:00"/>
    <s v="M"/>
    <x v="1"/>
    <n v="3"/>
    <x v="0"/>
    <x v="11"/>
    <x v="3"/>
    <x v="10"/>
    <x v="1"/>
  </r>
  <r>
    <s v="TX501846"/>
    <x v="4"/>
    <x v="12"/>
    <n v="20.2"/>
    <n v="80.8"/>
    <d v="2025-03-09T00:00:00"/>
    <d v="2025-03-10T00:00:00"/>
    <s v="O"/>
    <x v="2"/>
    <n v="4"/>
    <x v="0"/>
    <x v="11"/>
    <x v="3"/>
    <x v="10"/>
    <x v="3"/>
  </r>
  <r>
    <s v="TX501847"/>
    <x v="16"/>
    <x v="2"/>
    <n v="52.5"/>
    <n v="157.5"/>
    <d v="2025-03-09T00:00:00"/>
    <d v="2025-03-14T00:00:00"/>
    <s v="F"/>
    <x v="4"/>
    <n v="4"/>
    <x v="0"/>
    <x v="18"/>
    <x v="0"/>
    <x v="10"/>
    <x v="2"/>
  </r>
  <r>
    <s v="TX501848"/>
    <x v="2"/>
    <x v="9"/>
    <n v="59.9"/>
    <n v="299.5"/>
    <d v="2025-03-09T00:00:00"/>
    <d v="2025-03-11T00:00:00"/>
    <s v="F"/>
    <x v="2"/>
    <n v="4"/>
    <x v="0"/>
    <x v="19"/>
    <x v="1"/>
    <x v="10"/>
    <x v="2"/>
  </r>
  <r>
    <s v="TX501849"/>
    <x v="4"/>
    <x v="1"/>
    <n v="53.2"/>
    <n v="106.4"/>
    <d v="2025-03-09T00:00:00"/>
    <d v="2025-03-10T00:00:00"/>
    <s v="F"/>
    <x v="1"/>
    <n v="1"/>
    <x v="0"/>
    <x v="20"/>
    <x v="3"/>
    <x v="10"/>
    <x v="2"/>
  </r>
  <r>
    <s v="TX501850"/>
    <x v="2"/>
    <x v="1"/>
    <n v="60"/>
    <n v="120"/>
    <d v="2025-03-09T00:00:00"/>
    <d v="2025-03-15T00:00:00"/>
    <s v="M"/>
    <x v="1"/>
    <n v="5"/>
    <x v="0"/>
    <x v="20"/>
    <x v="4"/>
    <x v="10"/>
    <x v="1"/>
  </r>
  <r>
    <s v="TX501851"/>
    <x v="8"/>
    <x v="2"/>
    <n v="29.3"/>
    <n v="87.9"/>
    <d v="2025-03-09T00:00:00"/>
    <d v="2025-03-10T00:00:00"/>
    <s v="F"/>
    <x v="4"/>
    <n v="4"/>
    <x v="0"/>
    <x v="13"/>
    <x v="3"/>
    <x v="10"/>
    <x v="2"/>
  </r>
  <r>
    <s v="TX501852"/>
    <x v="12"/>
    <x v="1"/>
    <n v="55.4"/>
    <n v="110.8"/>
    <d v="2025-03-09T00:00:00"/>
    <d v="2025-03-10T00:00:00"/>
    <s v="F"/>
    <x v="0"/>
    <n v="5"/>
    <x v="0"/>
    <x v="21"/>
    <x v="3"/>
    <x v="10"/>
    <x v="2"/>
  </r>
  <r>
    <s v="TX501853"/>
    <x v="0"/>
    <x v="9"/>
    <n v="20.100000000000001"/>
    <n v="100.5"/>
    <d v="2025-03-09T00:00:00"/>
    <d v="2025-03-11T00:00:00"/>
    <s v="F"/>
    <x v="1"/>
    <n v="5"/>
    <x v="0"/>
    <x v="21"/>
    <x v="1"/>
    <x v="10"/>
    <x v="2"/>
  </r>
  <r>
    <s v="TX501854"/>
    <x v="14"/>
    <x v="9"/>
    <n v="24"/>
    <n v="120"/>
    <d v="2025-03-09T00:00:00"/>
    <d v="2025-03-12T00:00:00"/>
    <s v="M"/>
    <x v="2"/>
    <n v="4"/>
    <x v="0"/>
    <x v="1"/>
    <x v="2"/>
    <x v="10"/>
    <x v="1"/>
  </r>
  <r>
    <s v="TX501855"/>
    <x v="8"/>
    <x v="1"/>
    <n v="30.6"/>
    <n v="61.2"/>
    <d v="2025-03-10T00:00:00"/>
    <d v="2025-03-12T00:00:00"/>
    <s v="F"/>
    <x v="0"/>
    <n v="4"/>
    <x v="0"/>
    <x v="1"/>
    <x v="1"/>
    <x v="10"/>
    <x v="2"/>
  </r>
  <r>
    <s v="TX501856"/>
    <x v="10"/>
    <x v="9"/>
    <n v="33"/>
    <n v="165"/>
    <d v="2025-03-10T00:00:00"/>
    <d v="2025-03-11T00:00:00"/>
    <s v="M"/>
    <x v="1"/>
    <n v="3"/>
    <x v="0"/>
    <x v="27"/>
    <x v="3"/>
    <x v="10"/>
    <x v="1"/>
  </r>
  <r>
    <s v="TX501857"/>
    <x v="17"/>
    <x v="11"/>
    <n v="42.1"/>
    <n v="378.90000000000003"/>
    <d v="2025-03-10T00:00:00"/>
    <d v="2025-03-16T00:00:00"/>
    <s v="F"/>
    <x v="2"/>
    <n v="4"/>
    <x v="0"/>
    <x v="44"/>
    <x v="4"/>
    <x v="10"/>
    <x v="2"/>
  </r>
  <r>
    <s v="TX501858"/>
    <x v="6"/>
    <x v="3"/>
    <n v="77.7"/>
    <n v="543.9"/>
    <d v="2025-03-10T00:00:00"/>
    <d v="2025-03-15T00:00:00"/>
    <s v="F"/>
    <x v="1"/>
    <n v="5"/>
    <x v="0"/>
    <x v="50"/>
    <x v="0"/>
    <x v="10"/>
    <x v="2"/>
  </r>
  <r>
    <s v="TX501859"/>
    <x v="17"/>
    <x v="13"/>
    <n v="22.7"/>
    <n v="136.19999999999999"/>
    <d v="2025-03-10T00:00:00"/>
    <d v="2025-03-13T00:00:00"/>
    <s v="F"/>
    <x v="2"/>
    <n v="4"/>
    <x v="0"/>
    <x v="3"/>
    <x v="2"/>
    <x v="10"/>
    <x v="2"/>
  </r>
  <r>
    <s v="TX501860"/>
    <x v="2"/>
    <x v="1"/>
    <n v="133"/>
    <n v="266"/>
    <d v="2025-03-10T00:00:00"/>
    <d v="2025-03-10T00:00:00"/>
    <s v="M"/>
    <x v="2"/>
    <n v="5"/>
    <x v="0"/>
    <x v="3"/>
    <x v="7"/>
    <x v="10"/>
    <x v="1"/>
  </r>
  <r>
    <s v="TX501861"/>
    <x v="0"/>
    <x v="1"/>
    <n v="23.3"/>
    <n v="46.6"/>
    <d v="2025-03-10T00:00:00"/>
    <d v="2025-03-11T00:00:00"/>
    <s v="M"/>
    <x v="1"/>
    <n v="5"/>
    <x v="0"/>
    <x v="3"/>
    <x v="3"/>
    <x v="10"/>
    <x v="1"/>
  </r>
  <r>
    <s v="TX501862"/>
    <x v="8"/>
    <x v="2"/>
    <n v="20.7"/>
    <n v="62.099999999999994"/>
    <d v="2025-03-10T00:00:00"/>
    <d v="2025-03-12T00:00:00"/>
    <s v="O"/>
    <x v="0"/>
    <n v="5"/>
    <x v="0"/>
    <x v="3"/>
    <x v="1"/>
    <x v="10"/>
    <x v="3"/>
  </r>
  <r>
    <s v="TX501863"/>
    <x v="12"/>
    <x v="1"/>
    <n v="47"/>
    <n v="94"/>
    <d v="2025-03-10T00:00:00"/>
    <d v="2025-03-11T00:00:00"/>
    <s v="M"/>
    <x v="1"/>
    <n v="5"/>
    <x v="0"/>
    <x v="3"/>
    <x v="3"/>
    <x v="10"/>
    <x v="1"/>
  </r>
  <r>
    <s v="TX501864"/>
    <x v="12"/>
    <x v="2"/>
    <n v="38.200000000000003"/>
    <n v="114.60000000000001"/>
    <d v="2025-03-10T00:00:00"/>
    <d v="2025-03-12T00:00:00"/>
    <s v="F"/>
    <x v="2"/>
    <n v="2"/>
    <x v="0"/>
    <x v="3"/>
    <x v="1"/>
    <x v="10"/>
    <x v="2"/>
  </r>
  <r>
    <s v="TX501865"/>
    <x v="9"/>
    <x v="0"/>
    <n v="39.1"/>
    <n v="39.1"/>
    <d v="2025-03-10T00:00:00"/>
    <d v="2025-03-12T00:00:00"/>
    <s v="F"/>
    <x v="0"/>
    <n v="4"/>
    <x v="0"/>
    <x v="3"/>
    <x v="1"/>
    <x v="10"/>
    <x v="2"/>
  </r>
  <r>
    <s v="TX501866"/>
    <x v="7"/>
    <x v="30"/>
    <n v="55.6"/>
    <n v="1390"/>
    <d v="2025-03-10T00:00:00"/>
    <d v="2025-03-12T00:00:00"/>
    <s v="M"/>
    <x v="0"/>
    <n v="5"/>
    <x v="0"/>
    <x v="3"/>
    <x v="1"/>
    <x v="10"/>
    <x v="1"/>
  </r>
  <r>
    <s v="TX501867"/>
    <x v="15"/>
    <x v="0"/>
    <n v="43.1"/>
    <n v="43.1"/>
    <d v="2025-03-10T00:00:00"/>
    <d v="2025-03-10T00:00:00"/>
    <s v="O"/>
    <x v="1"/>
    <n v="5"/>
    <x v="0"/>
    <x v="3"/>
    <x v="7"/>
    <x v="10"/>
    <x v="3"/>
  </r>
  <r>
    <s v="TX501868"/>
    <x v="6"/>
    <x v="12"/>
    <n v="48.1"/>
    <n v="192.4"/>
    <d v="2025-03-10T00:00:00"/>
    <d v="2025-03-11T00:00:00"/>
    <s v="F"/>
    <x v="4"/>
    <n v="5"/>
    <x v="0"/>
    <x v="3"/>
    <x v="3"/>
    <x v="10"/>
    <x v="2"/>
  </r>
  <r>
    <s v="TX501869"/>
    <x v="4"/>
    <x v="0"/>
    <n v="42"/>
    <n v="42"/>
    <d v="2025-03-10T00:00:00"/>
    <d v="2025-03-11T00:00:00"/>
    <s v="O"/>
    <x v="0"/>
    <n v="4"/>
    <x v="0"/>
    <x v="3"/>
    <x v="3"/>
    <x v="10"/>
    <x v="3"/>
  </r>
  <r>
    <s v="TX501870"/>
    <x v="8"/>
    <x v="9"/>
    <n v="18.3"/>
    <n v="91.5"/>
    <d v="2025-03-10T00:00:00"/>
    <d v="2025-03-10T00:00:00"/>
    <s v="F"/>
    <x v="2"/>
    <n v="4"/>
    <x v="0"/>
    <x v="3"/>
    <x v="7"/>
    <x v="10"/>
    <x v="2"/>
  </r>
  <r>
    <s v="TX501871"/>
    <x v="10"/>
    <x v="12"/>
    <n v="45.3"/>
    <n v="181.2"/>
    <d v="2025-03-10T00:00:00"/>
    <d v="2025-03-13T00:00:00"/>
    <s v="F"/>
    <x v="0"/>
    <n v="5"/>
    <x v="0"/>
    <x v="3"/>
    <x v="2"/>
    <x v="10"/>
    <x v="2"/>
  </r>
  <r>
    <s v="TX501872"/>
    <x v="0"/>
    <x v="1"/>
    <n v="27.6"/>
    <n v="55.2"/>
    <d v="2025-03-10T00:00:00"/>
    <d v="2025-03-12T00:00:00"/>
    <s v="M"/>
    <x v="0"/>
    <n v="5"/>
    <x v="0"/>
    <x v="37"/>
    <x v="1"/>
    <x v="10"/>
    <x v="1"/>
  </r>
  <r>
    <s v="TX501873"/>
    <x v="4"/>
    <x v="9"/>
    <n v="26.9"/>
    <n v="134.5"/>
    <d v="2025-03-10T00:00:00"/>
    <d v="2025-03-11T00:00:00"/>
    <s v="F"/>
    <x v="2"/>
    <n v="4"/>
    <x v="0"/>
    <x v="25"/>
    <x v="3"/>
    <x v="10"/>
    <x v="2"/>
  </r>
  <r>
    <s v="TX501874"/>
    <x v="2"/>
    <x v="11"/>
    <n v="82.4"/>
    <n v="741.6"/>
    <d v="2025-03-10T00:00:00"/>
    <d v="2025-03-12T00:00:00"/>
    <s v="O"/>
    <x v="2"/>
    <n v="4"/>
    <x v="0"/>
    <x v="5"/>
    <x v="1"/>
    <x v="10"/>
    <x v="3"/>
  </r>
  <r>
    <s v="TX501875"/>
    <x v="6"/>
    <x v="0"/>
    <n v="103.7"/>
    <n v="103.7"/>
    <d v="2025-03-10T00:00:00"/>
    <d v="2025-03-12T00:00:00"/>
    <s v="F"/>
    <x v="1"/>
    <n v="4"/>
    <x v="0"/>
    <x v="5"/>
    <x v="1"/>
    <x v="10"/>
    <x v="2"/>
  </r>
  <r>
    <s v="TX501876"/>
    <x v="2"/>
    <x v="1"/>
    <n v="58.8"/>
    <n v="117.6"/>
    <d v="2025-03-10T00:00:00"/>
    <d v="2025-03-15T00:00:00"/>
    <s v="F"/>
    <x v="1"/>
    <n v="5"/>
    <x v="0"/>
    <x v="6"/>
    <x v="0"/>
    <x v="10"/>
    <x v="2"/>
  </r>
  <r>
    <s v="TX501877"/>
    <x v="13"/>
    <x v="0"/>
    <n v="31.5"/>
    <n v="31.5"/>
    <d v="2025-03-10T00:00:00"/>
    <d v="2025-03-11T00:00:00"/>
    <s v="F"/>
    <x v="1"/>
    <n v="3"/>
    <x v="0"/>
    <x v="6"/>
    <x v="3"/>
    <x v="10"/>
    <x v="2"/>
  </r>
  <r>
    <s v="TX501878"/>
    <x v="7"/>
    <x v="9"/>
    <n v="36.799999999999997"/>
    <n v="184"/>
    <d v="2025-03-10T00:00:00"/>
    <d v="2025-03-12T00:00:00"/>
    <s v="F"/>
    <x v="0"/>
    <n v="4"/>
    <x v="0"/>
    <x v="8"/>
    <x v="1"/>
    <x v="10"/>
    <x v="2"/>
  </r>
  <r>
    <s v="TX501879"/>
    <x v="3"/>
    <x v="0"/>
    <n v="84.4"/>
    <n v="84.4"/>
    <d v="2025-03-10T00:00:00"/>
    <d v="2025-03-11T00:00:00"/>
    <s v="F"/>
    <x v="0"/>
    <n v="4"/>
    <x v="0"/>
    <x v="8"/>
    <x v="3"/>
    <x v="10"/>
    <x v="2"/>
  </r>
  <r>
    <s v="TX501880"/>
    <x v="14"/>
    <x v="0"/>
    <n v="44.7"/>
    <n v="44.7"/>
    <d v="2025-03-10T00:00:00"/>
    <d v="2025-03-11T00:00:00"/>
    <s v="M"/>
    <x v="0"/>
    <n v="3"/>
    <x v="0"/>
    <x v="8"/>
    <x v="3"/>
    <x v="10"/>
    <x v="1"/>
  </r>
  <r>
    <s v="TX501881"/>
    <x v="9"/>
    <x v="8"/>
    <n v="39.4"/>
    <n v="315.2"/>
    <d v="2025-03-10T00:00:00"/>
    <d v="2025-03-11T00:00:00"/>
    <s v="F"/>
    <x v="1"/>
    <n v="5"/>
    <x v="0"/>
    <x v="8"/>
    <x v="3"/>
    <x v="10"/>
    <x v="2"/>
  </r>
  <r>
    <s v="TX501882"/>
    <x v="11"/>
    <x v="12"/>
    <n v="34.9"/>
    <n v="139.6"/>
    <d v="2025-03-10T00:00:00"/>
    <d v="2025-03-12T00:00:00"/>
    <s v="F"/>
    <x v="0"/>
    <n v="5"/>
    <x v="0"/>
    <x v="8"/>
    <x v="1"/>
    <x v="10"/>
    <x v="2"/>
  </r>
  <r>
    <s v="TX501883"/>
    <x v="1"/>
    <x v="2"/>
    <n v="62.3"/>
    <n v="186.89999999999998"/>
    <d v="2025-03-10T00:00:00"/>
    <d v="2025-03-12T00:00:00"/>
    <s v="M"/>
    <x v="4"/>
    <n v="5"/>
    <x v="0"/>
    <x v="8"/>
    <x v="1"/>
    <x v="10"/>
    <x v="1"/>
  </r>
  <r>
    <s v="TX501884"/>
    <x v="8"/>
    <x v="12"/>
    <n v="21.1"/>
    <n v="84.4"/>
    <d v="2025-03-10T00:00:00"/>
    <d v="2025-03-13T00:00:00"/>
    <s v="M"/>
    <x v="3"/>
    <n v="4"/>
    <x v="0"/>
    <x v="8"/>
    <x v="2"/>
    <x v="10"/>
    <x v="1"/>
  </r>
  <r>
    <s v="TX501885"/>
    <x v="8"/>
    <x v="2"/>
    <n v="33.200000000000003"/>
    <n v="99.600000000000009"/>
    <d v="2025-03-10T00:00:00"/>
    <d v="2025-03-24T00:00:00"/>
    <s v=""/>
    <x v="0"/>
    <n v="2"/>
    <x v="0"/>
    <x v="8"/>
    <x v="12"/>
    <x v="10"/>
    <x v="0"/>
  </r>
  <r>
    <s v="TX501886"/>
    <x v="1"/>
    <x v="12"/>
    <n v="74.5"/>
    <n v="298"/>
    <d v="2025-03-10T00:00:00"/>
    <d v="2025-03-11T00:00:00"/>
    <s v="M"/>
    <x v="4"/>
    <n v="4"/>
    <x v="0"/>
    <x v="8"/>
    <x v="3"/>
    <x v="10"/>
    <x v="1"/>
  </r>
  <r>
    <s v="TX501887"/>
    <x v="10"/>
    <x v="4"/>
    <n v="68.599999999999994"/>
    <n v="823.19999999999993"/>
    <d v="2025-03-10T00:00:00"/>
    <d v="2025-03-13T00:00:00"/>
    <s v="F"/>
    <x v="0"/>
    <n v="5"/>
    <x v="0"/>
    <x v="8"/>
    <x v="2"/>
    <x v="10"/>
    <x v="2"/>
  </r>
  <r>
    <s v="TX501888"/>
    <x v="5"/>
    <x v="21"/>
    <n v="36.4"/>
    <n v="509.59999999999997"/>
    <d v="2025-03-10T00:00:00"/>
    <d v="2025-03-12T00:00:00"/>
    <s v="F"/>
    <x v="0"/>
    <n v="3"/>
    <x v="0"/>
    <x v="9"/>
    <x v="1"/>
    <x v="10"/>
    <x v="2"/>
  </r>
  <r>
    <s v="TX501889"/>
    <x v="16"/>
    <x v="9"/>
    <n v="67.599999999999994"/>
    <n v="338"/>
    <d v="2025-03-11T00:00:00"/>
    <d v="2025-03-14T00:00:00"/>
    <s v="F"/>
    <x v="4"/>
    <n v="3"/>
    <x v="0"/>
    <x v="9"/>
    <x v="2"/>
    <x v="10"/>
    <x v="2"/>
  </r>
  <r>
    <s v="TX501890"/>
    <x v="15"/>
    <x v="0"/>
    <n v="46.3"/>
    <n v="46.3"/>
    <d v="2025-03-11T00:00:00"/>
    <d v="2025-03-12T00:00:00"/>
    <s v="M"/>
    <x v="2"/>
    <n v="4"/>
    <x v="0"/>
    <x v="9"/>
    <x v="3"/>
    <x v="10"/>
    <x v="1"/>
  </r>
  <r>
    <s v="TX501891"/>
    <x v="1"/>
    <x v="2"/>
    <n v="124.2"/>
    <n v="372.6"/>
    <d v="2025-03-11T00:00:00"/>
    <d v="2025-03-13T00:00:00"/>
    <s v="F"/>
    <x v="1"/>
    <n v="5"/>
    <x v="0"/>
    <x v="11"/>
    <x v="1"/>
    <x v="10"/>
    <x v="2"/>
  </r>
  <r>
    <s v="TX501892"/>
    <x v="10"/>
    <x v="1"/>
    <n v="37"/>
    <n v="74"/>
    <d v="2025-03-11T00:00:00"/>
    <d v="2025-03-17T00:00:00"/>
    <s v="M"/>
    <x v="0"/>
    <n v="4"/>
    <x v="0"/>
    <x v="11"/>
    <x v="4"/>
    <x v="10"/>
    <x v="1"/>
  </r>
  <r>
    <s v="TX501893"/>
    <x v="5"/>
    <x v="0"/>
    <n v="41.8"/>
    <n v="41.8"/>
    <d v="2025-03-11T00:00:00"/>
    <d v="2025-03-12T00:00:00"/>
    <s v="M"/>
    <x v="2"/>
    <n v="4"/>
    <x v="0"/>
    <x v="31"/>
    <x v="3"/>
    <x v="10"/>
    <x v="1"/>
  </r>
  <r>
    <s v="TX501894"/>
    <x v="9"/>
    <x v="1"/>
    <n v="57.2"/>
    <n v="114.4"/>
    <d v="2025-03-11T00:00:00"/>
    <d v="2025-03-13T00:00:00"/>
    <s v="M"/>
    <x v="2"/>
    <n v="3"/>
    <x v="0"/>
    <x v="20"/>
    <x v="1"/>
    <x v="10"/>
    <x v="1"/>
  </r>
  <r>
    <s v="TX501895"/>
    <x v="6"/>
    <x v="1"/>
    <n v="47.1"/>
    <n v="94.2"/>
    <d v="2025-03-11T00:00:00"/>
    <d v="2025-03-13T00:00:00"/>
    <s v="F"/>
    <x v="0"/>
    <n v="2"/>
    <x v="0"/>
    <x v="20"/>
    <x v="1"/>
    <x v="10"/>
    <x v="2"/>
  </r>
  <r>
    <s v="TX501896"/>
    <x v="5"/>
    <x v="2"/>
    <n v="86.4"/>
    <n v="259.20000000000005"/>
    <d v="2025-03-11T00:00:00"/>
    <d v="2025-03-12T00:00:00"/>
    <s v="M"/>
    <x v="2"/>
    <n v="3"/>
    <x v="0"/>
    <x v="52"/>
    <x v="3"/>
    <x v="10"/>
    <x v="1"/>
  </r>
  <r>
    <s v="TX501897"/>
    <x v="6"/>
    <x v="9"/>
    <n v="105"/>
    <n v="525"/>
    <d v="2025-03-11T00:00:00"/>
    <d v="2025-03-14T00:00:00"/>
    <s v="M"/>
    <x v="0"/>
    <n v="4"/>
    <x v="0"/>
    <x v="13"/>
    <x v="2"/>
    <x v="10"/>
    <x v="1"/>
  </r>
  <r>
    <s v="TX501898"/>
    <x v="18"/>
    <x v="0"/>
    <n v="33"/>
    <n v="33"/>
    <d v="2025-03-11T00:00:00"/>
    <d v="2025-03-14T00:00:00"/>
    <s v="M"/>
    <x v="4"/>
    <n v="4"/>
    <x v="0"/>
    <x v="21"/>
    <x v="2"/>
    <x v="10"/>
    <x v="1"/>
  </r>
  <r>
    <s v="TX501899"/>
    <x v="6"/>
    <x v="9"/>
    <n v="106.6"/>
    <n v="533"/>
    <d v="2025-03-11T00:00:00"/>
    <d v="2025-03-24T00:00:00"/>
    <s v="F"/>
    <x v="2"/>
    <n v="4"/>
    <x v="0"/>
    <x v="1"/>
    <x v="10"/>
    <x v="10"/>
    <x v="2"/>
  </r>
  <r>
    <s v="TX501900"/>
    <x v="10"/>
    <x v="46"/>
    <n v="26.8"/>
    <n v="857.6"/>
    <d v="2025-03-11T00:00:00"/>
    <d v="2025-03-12T00:00:00"/>
    <s v="F"/>
    <x v="2"/>
    <n v="4"/>
    <x v="0"/>
    <x v="1"/>
    <x v="3"/>
    <x v="10"/>
    <x v="2"/>
  </r>
  <r>
    <s v="TX501901"/>
    <x v="17"/>
    <x v="9"/>
    <n v="25.8"/>
    <n v="129"/>
    <d v="2025-03-11T00:00:00"/>
    <d v="2025-03-11T00:00:00"/>
    <s v="F"/>
    <x v="1"/>
    <n v="5"/>
    <x v="0"/>
    <x v="3"/>
    <x v="7"/>
    <x v="10"/>
    <x v="2"/>
  </r>
  <r>
    <s v="TX501902"/>
    <x v="2"/>
    <x v="2"/>
    <n v="217"/>
    <n v="651"/>
    <d v="2025-03-11T00:00:00"/>
    <d v="2025-03-12T00:00:00"/>
    <s v="F"/>
    <x v="1"/>
    <n v="3"/>
    <x v="0"/>
    <x v="3"/>
    <x v="3"/>
    <x v="10"/>
    <x v="2"/>
  </r>
  <r>
    <s v="TX501903"/>
    <x v="2"/>
    <x v="1"/>
    <n v="97.3"/>
    <n v="194.6"/>
    <d v="2025-03-11T00:00:00"/>
    <d v="2025-03-12T00:00:00"/>
    <s v="M"/>
    <x v="2"/>
    <n v="2"/>
    <x v="0"/>
    <x v="3"/>
    <x v="3"/>
    <x v="10"/>
    <x v="1"/>
  </r>
  <r>
    <s v="TX501904"/>
    <x v="1"/>
    <x v="0"/>
    <n v="49.8"/>
    <n v="49.8"/>
    <d v="2025-03-11T00:00:00"/>
    <d v="2025-03-12T00:00:00"/>
    <s v="F"/>
    <x v="0"/>
    <n v="4"/>
    <x v="0"/>
    <x v="3"/>
    <x v="3"/>
    <x v="10"/>
    <x v="2"/>
  </r>
  <r>
    <s v="TX501905"/>
    <x v="12"/>
    <x v="9"/>
    <n v="32.6"/>
    <n v="163"/>
    <d v="2025-03-11T00:00:00"/>
    <d v="2025-03-12T00:00:00"/>
    <s v="F"/>
    <x v="0"/>
    <n v="4"/>
    <x v="0"/>
    <x v="3"/>
    <x v="3"/>
    <x v="10"/>
    <x v="2"/>
  </r>
  <r>
    <s v="TX501906"/>
    <x v="9"/>
    <x v="1"/>
    <n v="40.1"/>
    <n v="80.2"/>
    <d v="2025-03-11T00:00:00"/>
    <d v="2025-03-14T00:00:00"/>
    <s v="M"/>
    <x v="1"/>
    <n v="5"/>
    <x v="0"/>
    <x v="3"/>
    <x v="2"/>
    <x v="10"/>
    <x v="1"/>
  </r>
  <r>
    <s v="TX501907"/>
    <x v="10"/>
    <x v="1"/>
    <n v="49.4"/>
    <n v="98.8"/>
    <d v="2025-03-11T00:00:00"/>
    <d v="2025-03-13T00:00:00"/>
    <s v="M"/>
    <x v="1"/>
    <n v="4"/>
    <x v="0"/>
    <x v="3"/>
    <x v="1"/>
    <x v="10"/>
    <x v="1"/>
  </r>
  <r>
    <s v="TX501908"/>
    <x v="2"/>
    <x v="0"/>
    <n v="67.3"/>
    <n v="67.3"/>
    <d v="2025-03-11T00:00:00"/>
    <d v="2025-03-12T00:00:00"/>
    <s v="F"/>
    <x v="0"/>
    <n v="5"/>
    <x v="0"/>
    <x v="3"/>
    <x v="3"/>
    <x v="10"/>
    <x v="2"/>
  </r>
  <r>
    <s v="TX501909"/>
    <x v="18"/>
    <x v="12"/>
    <n v="44.5"/>
    <n v="178"/>
    <d v="2025-03-11T00:00:00"/>
    <d v="2025-03-14T00:00:00"/>
    <s v=""/>
    <x v="1"/>
    <n v="4"/>
    <x v="0"/>
    <x v="3"/>
    <x v="2"/>
    <x v="10"/>
    <x v="0"/>
  </r>
  <r>
    <s v="TX501910"/>
    <x v="6"/>
    <x v="5"/>
    <n v="111.1"/>
    <n v="1222.0999999999999"/>
    <d v="2025-03-11T00:00:00"/>
    <d v="2025-03-12T00:00:00"/>
    <s v="F"/>
    <x v="4"/>
    <n v="4"/>
    <x v="0"/>
    <x v="3"/>
    <x v="3"/>
    <x v="10"/>
    <x v="2"/>
  </r>
  <r>
    <s v="TX501911"/>
    <x v="8"/>
    <x v="2"/>
    <n v="19.7"/>
    <n v="59.099999999999994"/>
    <d v="2025-03-11T00:00:00"/>
    <d v="2025-03-12T00:00:00"/>
    <s v="F"/>
    <x v="4"/>
    <n v="2"/>
    <x v="0"/>
    <x v="3"/>
    <x v="3"/>
    <x v="10"/>
    <x v="2"/>
  </r>
  <r>
    <s v="TX501912"/>
    <x v="1"/>
    <x v="0"/>
    <n v="40.299999999999997"/>
    <n v="40.299999999999997"/>
    <d v="2025-03-11T00:00:00"/>
    <d v="2025-03-12T00:00:00"/>
    <s v="O"/>
    <x v="1"/>
    <n v="4"/>
    <x v="0"/>
    <x v="3"/>
    <x v="3"/>
    <x v="10"/>
    <x v="3"/>
  </r>
  <r>
    <s v="TX501913"/>
    <x v="6"/>
    <x v="1"/>
    <n v="108.8"/>
    <n v="217.6"/>
    <d v="2025-03-11T00:00:00"/>
    <d v="2025-03-16T00:00:00"/>
    <s v="M"/>
    <x v="0"/>
    <n v="5"/>
    <x v="0"/>
    <x v="6"/>
    <x v="0"/>
    <x v="10"/>
    <x v="1"/>
  </r>
  <r>
    <s v="TX501914"/>
    <x v="8"/>
    <x v="2"/>
    <n v="48.2"/>
    <n v="144.60000000000002"/>
    <d v="2025-03-11T00:00:00"/>
    <d v="2025-03-16T00:00:00"/>
    <s v="F"/>
    <x v="4"/>
    <n v="4"/>
    <x v="0"/>
    <x v="7"/>
    <x v="0"/>
    <x v="10"/>
    <x v="2"/>
  </r>
  <r>
    <s v="TX501915"/>
    <x v="2"/>
    <x v="2"/>
    <n v="104.7"/>
    <n v="314.10000000000002"/>
    <d v="2025-03-11T00:00:00"/>
    <d v="2025-03-13T00:00:00"/>
    <s v="F"/>
    <x v="0"/>
    <n v="3"/>
    <x v="0"/>
    <x v="7"/>
    <x v="1"/>
    <x v="10"/>
    <x v="2"/>
  </r>
  <r>
    <s v="TX501916"/>
    <x v="1"/>
    <x v="1"/>
    <n v="80.599999999999994"/>
    <n v="161.19999999999999"/>
    <d v="2025-03-11T00:00:00"/>
    <d v="2025-03-11T00:00:00"/>
    <s v="F"/>
    <x v="1"/>
    <n v="4"/>
    <x v="0"/>
    <x v="8"/>
    <x v="7"/>
    <x v="10"/>
    <x v="2"/>
  </r>
  <r>
    <s v="TX501917"/>
    <x v="6"/>
    <x v="0"/>
    <n v="65.5"/>
    <n v="65.5"/>
    <d v="2025-03-11T00:00:00"/>
    <d v="2025-03-13T00:00:00"/>
    <s v="O"/>
    <x v="1"/>
    <n v="4"/>
    <x v="0"/>
    <x v="8"/>
    <x v="1"/>
    <x v="10"/>
    <x v="3"/>
  </r>
  <r>
    <s v="TX501918"/>
    <x v="9"/>
    <x v="2"/>
    <n v="61.4"/>
    <n v="184.2"/>
    <d v="2025-03-11T00:00:00"/>
    <d v="2025-03-13T00:00:00"/>
    <s v="F"/>
    <x v="4"/>
    <n v="5"/>
    <x v="0"/>
    <x v="8"/>
    <x v="1"/>
    <x v="10"/>
    <x v="2"/>
  </r>
  <r>
    <s v="TX501919"/>
    <x v="0"/>
    <x v="0"/>
    <n v="12.5"/>
    <n v="12.5"/>
    <d v="2025-03-12T00:00:00"/>
    <d v="2025-03-15T00:00:00"/>
    <s v="F"/>
    <x v="0"/>
    <n v="3"/>
    <x v="0"/>
    <x v="8"/>
    <x v="2"/>
    <x v="10"/>
    <x v="2"/>
  </r>
  <r>
    <s v="TX501920"/>
    <x v="4"/>
    <x v="12"/>
    <n v="35.1"/>
    <n v="140.4"/>
    <d v="2025-03-12T00:00:00"/>
    <d v="2025-03-13T00:00:00"/>
    <s v="M"/>
    <x v="2"/>
    <n v="3"/>
    <x v="0"/>
    <x v="17"/>
    <x v="3"/>
    <x v="10"/>
    <x v="1"/>
  </r>
  <r>
    <s v="TX501921"/>
    <x v="5"/>
    <x v="1"/>
    <n v="55.7"/>
    <n v="111.4"/>
    <d v="2025-03-12T00:00:00"/>
    <d v="2025-03-13T00:00:00"/>
    <s v="M"/>
    <x v="0"/>
    <n v="3"/>
    <x v="0"/>
    <x v="26"/>
    <x v="3"/>
    <x v="10"/>
    <x v="1"/>
  </r>
  <r>
    <s v="TX501922"/>
    <x v="7"/>
    <x v="1"/>
    <n v="57.7"/>
    <n v="115.4"/>
    <d v="2025-03-12T00:00:00"/>
    <d v="2025-03-14T00:00:00"/>
    <s v="M"/>
    <x v="4"/>
    <n v="3"/>
    <x v="0"/>
    <x v="9"/>
    <x v="1"/>
    <x v="10"/>
    <x v="1"/>
  </r>
  <r>
    <s v="TX501923"/>
    <x v="2"/>
    <x v="13"/>
    <n v="85.7"/>
    <n v="514.20000000000005"/>
    <d v="2025-03-12T00:00:00"/>
    <d v="2025-03-13T00:00:00"/>
    <s v="M"/>
    <x v="3"/>
    <n v="5"/>
    <x v="0"/>
    <x v="9"/>
    <x v="3"/>
    <x v="10"/>
    <x v="1"/>
  </r>
  <r>
    <s v="TX501924"/>
    <x v="2"/>
    <x v="2"/>
    <n v="86.9"/>
    <n v="260.70000000000005"/>
    <d v="2025-03-12T00:00:00"/>
    <d v="2025-03-14T00:00:00"/>
    <s v="F"/>
    <x v="1"/>
    <n v="4"/>
    <x v="0"/>
    <x v="11"/>
    <x v="1"/>
    <x v="10"/>
    <x v="2"/>
  </r>
  <r>
    <s v="TX501925"/>
    <x v="18"/>
    <x v="1"/>
    <n v="46.4"/>
    <n v="92.8"/>
    <d v="2025-03-12T00:00:00"/>
    <d v="2025-03-15T00:00:00"/>
    <s v="F"/>
    <x v="4"/>
    <n v="4"/>
    <x v="0"/>
    <x v="11"/>
    <x v="2"/>
    <x v="10"/>
    <x v="2"/>
  </r>
  <r>
    <s v="TX501926"/>
    <x v="5"/>
    <x v="2"/>
    <n v="25.4"/>
    <n v="76.199999999999989"/>
    <d v="2025-03-12T00:00:00"/>
    <d v="2025-03-12T00:00:00"/>
    <s v="F"/>
    <x v="2"/>
    <n v="5"/>
    <x v="0"/>
    <x v="18"/>
    <x v="7"/>
    <x v="10"/>
    <x v="2"/>
  </r>
  <r>
    <s v="TX501927"/>
    <x v="10"/>
    <x v="2"/>
    <n v="47.8"/>
    <n v="143.39999999999998"/>
    <d v="2025-03-12T00:00:00"/>
    <d v="2025-03-12T00:00:00"/>
    <s v=""/>
    <x v="2"/>
    <n v="5"/>
    <x v="0"/>
    <x v="19"/>
    <x v="7"/>
    <x v="10"/>
    <x v="0"/>
  </r>
  <r>
    <s v="TX501928"/>
    <x v="8"/>
    <x v="10"/>
    <n v="18.399999999999999"/>
    <n v="349.59999999999997"/>
    <d v="2025-03-12T00:00:00"/>
    <d v="2025-03-14T00:00:00"/>
    <s v="O"/>
    <x v="2"/>
    <n v="4"/>
    <x v="0"/>
    <x v="20"/>
    <x v="1"/>
    <x v="10"/>
    <x v="3"/>
  </r>
  <r>
    <s v="TX501929"/>
    <x v="12"/>
    <x v="2"/>
    <n v="65.5"/>
    <n v="196.5"/>
    <d v="2025-03-12T00:00:00"/>
    <d v="2025-03-20T00:00:00"/>
    <s v="F"/>
    <x v="0"/>
    <n v="4"/>
    <x v="0"/>
    <x v="21"/>
    <x v="9"/>
    <x v="10"/>
    <x v="2"/>
  </r>
  <r>
    <s v="TX501930"/>
    <x v="10"/>
    <x v="1"/>
    <n v="50.6"/>
    <n v="101.2"/>
    <d v="2025-03-12T00:00:00"/>
    <d v="2025-03-15T00:00:00"/>
    <s v="M"/>
    <x v="2"/>
    <n v="2"/>
    <x v="0"/>
    <x v="21"/>
    <x v="2"/>
    <x v="10"/>
    <x v="1"/>
  </r>
  <r>
    <s v="TX501931"/>
    <x v="3"/>
    <x v="9"/>
    <n v="69"/>
    <n v="345"/>
    <d v="2025-03-12T00:00:00"/>
    <d v="2025-03-16T00:00:00"/>
    <s v="M"/>
    <x v="3"/>
    <n v="4"/>
    <x v="0"/>
    <x v="21"/>
    <x v="5"/>
    <x v="10"/>
    <x v="1"/>
  </r>
  <r>
    <s v="TX501932"/>
    <x v="9"/>
    <x v="8"/>
    <n v="51.1"/>
    <n v="408.8"/>
    <d v="2025-03-12T00:00:00"/>
    <d v="2025-03-14T00:00:00"/>
    <s v="F"/>
    <x v="0"/>
    <n v="4"/>
    <x v="0"/>
    <x v="1"/>
    <x v="1"/>
    <x v="10"/>
    <x v="2"/>
  </r>
  <r>
    <s v="TX501933"/>
    <x v="9"/>
    <x v="0"/>
    <n v="36.1"/>
    <n v="36.1"/>
    <d v="2025-03-12T00:00:00"/>
    <d v="2025-03-13T00:00:00"/>
    <s v="F"/>
    <x v="0"/>
    <n v="5"/>
    <x v="0"/>
    <x v="34"/>
    <x v="3"/>
    <x v="10"/>
    <x v="2"/>
  </r>
  <r>
    <s v="TX501934"/>
    <x v="14"/>
    <x v="0"/>
    <n v="18.7"/>
    <n v="18.7"/>
    <d v="2025-03-12T00:00:00"/>
    <d v="2025-03-13T00:00:00"/>
    <s v="M"/>
    <x v="0"/>
    <n v="4"/>
    <x v="0"/>
    <x v="3"/>
    <x v="3"/>
    <x v="10"/>
    <x v="1"/>
  </r>
  <r>
    <s v="TX501935"/>
    <x v="17"/>
    <x v="0"/>
    <n v="30.1"/>
    <n v="30.1"/>
    <d v="2025-03-12T00:00:00"/>
    <d v="2025-03-15T00:00:00"/>
    <s v="F"/>
    <x v="3"/>
    <n v="3"/>
    <x v="0"/>
    <x v="3"/>
    <x v="2"/>
    <x v="10"/>
    <x v="2"/>
  </r>
  <r>
    <s v="TX501936"/>
    <x v="8"/>
    <x v="0"/>
    <n v="16.3"/>
    <n v="16.3"/>
    <d v="2025-03-12T00:00:00"/>
    <d v="2025-03-13T00:00:00"/>
    <s v="M"/>
    <x v="3"/>
    <n v="4"/>
    <x v="0"/>
    <x v="3"/>
    <x v="3"/>
    <x v="10"/>
    <x v="1"/>
  </r>
  <r>
    <s v="TX501937"/>
    <x v="1"/>
    <x v="2"/>
    <n v="63.8"/>
    <n v="191.39999999999998"/>
    <d v="2025-03-12T00:00:00"/>
    <d v="2025-03-17T00:00:00"/>
    <s v="F"/>
    <x v="2"/>
    <n v="3"/>
    <x v="0"/>
    <x v="3"/>
    <x v="0"/>
    <x v="10"/>
    <x v="2"/>
  </r>
  <r>
    <s v="TX501938"/>
    <x v="1"/>
    <x v="3"/>
    <n v="73.900000000000006"/>
    <n v="517.30000000000007"/>
    <d v="2025-03-12T00:00:00"/>
    <d v="2025-03-12T00:00:00"/>
    <s v="F"/>
    <x v="0"/>
    <n v="3"/>
    <x v="0"/>
    <x v="3"/>
    <x v="7"/>
    <x v="10"/>
    <x v="2"/>
  </r>
  <r>
    <s v="TX501939"/>
    <x v="0"/>
    <x v="1"/>
    <n v="20.2"/>
    <n v="40.4"/>
    <d v="2025-03-12T00:00:00"/>
    <d v="2025-03-13T00:00:00"/>
    <s v="M"/>
    <x v="0"/>
    <n v="3"/>
    <x v="0"/>
    <x v="3"/>
    <x v="3"/>
    <x v="10"/>
    <x v="1"/>
  </r>
  <r>
    <s v="TX501940"/>
    <x v="11"/>
    <x v="5"/>
    <n v="29.5"/>
    <n v="324.5"/>
    <d v="2025-03-12T00:00:00"/>
    <d v="2025-03-13T00:00:00"/>
    <s v="M"/>
    <x v="0"/>
    <n v="4"/>
    <x v="0"/>
    <x v="3"/>
    <x v="3"/>
    <x v="10"/>
    <x v="1"/>
  </r>
  <r>
    <s v="TX501941"/>
    <x v="15"/>
    <x v="3"/>
    <n v="37.9"/>
    <n v="265.3"/>
    <d v="2025-03-12T00:00:00"/>
    <d v="2025-03-13T00:00:00"/>
    <s v="M"/>
    <x v="1"/>
    <n v="4"/>
    <x v="0"/>
    <x v="3"/>
    <x v="3"/>
    <x v="10"/>
    <x v="1"/>
  </r>
  <r>
    <s v="TX501942"/>
    <x v="2"/>
    <x v="0"/>
    <n v="56.5"/>
    <n v="56.5"/>
    <d v="2025-03-12T00:00:00"/>
    <d v="2025-03-13T00:00:00"/>
    <s v="F"/>
    <x v="2"/>
    <n v="3"/>
    <x v="0"/>
    <x v="3"/>
    <x v="3"/>
    <x v="10"/>
    <x v="2"/>
  </r>
  <r>
    <s v="TX501943"/>
    <x v="2"/>
    <x v="1"/>
    <n v="66.900000000000006"/>
    <n v="133.80000000000001"/>
    <d v="2025-03-12T00:00:00"/>
    <d v="2025-03-18T00:00:00"/>
    <s v="M"/>
    <x v="1"/>
    <n v="2"/>
    <x v="0"/>
    <x v="25"/>
    <x v="4"/>
    <x v="10"/>
    <x v="1"/>
  </r>
  <r>
    <s v="TX501944"/>
    <x v="2"/>
    <x v="9"/>
    <n v="51.9"/>
    <n v="259.5"/>
    <d v="2025-03-12T00:00:00"/>
    <d v="2025-03-15T00:00:00"/>
    <s v="M"/>
    <x v="1"/>
    <n v="4"/>
    <x v="0"/>
    <x v="7"/>
    <x v="2"/>
    <x v="10"/>
    <x v="1"/>
  </r>
  <r>
    <s v="TX501945"/>
    <x v="2"/>
    <x v="1"/>
    <n v="75.599999999999994"/>
    <n v="151.19999999999999"/>
    <d v="2025-03-12T00:00:00"/>
    <d v="2025-03-15T00:00:00"/>
    <s v="M"/>
    <x v="1"/>
    <n v="4"/>
    <x v="0"/>
    <x v="8"/>
    <x v="2"/>
    <x v="10"/>
    <x v="1"/>
  </r>
  <r>
    <s v="TX501946"/>
    <x v="12"/>
    <x v="13"/>
    <n v="47.3"/>
    <n v="283.79999999999995"/>
    <d v="2025-03-12T00:00:00"/>
    <d v="2025-03-23T00:00:00"/>
    <s v="M"/>
    <x v="0"/>
    <n v="4"/>
    <x v="0"/>
    <x v="8"/>
    <x v="11"/>
    <x v="10"/>
    <x v="1"/>
  </r>
  <r>
    <s v="TX501947"/>
    <x v="4"/>
    <x v="0"/>
    <n v="20.6"/>
    <n v="20.6"/>
    <d v="2025-03-12T00:00:00"/>
    <d v="2025-03-13T00:00:00"/>
    <s v=""/>
    <x v="0"/>
    <n v="3"/>
    <x v="0"/>
    <x v="8"/>
    <x v="3"/>
    <x v="10"/>
    <x v="0"/>
  </r>
  <r>
    <s v="TX501948"/>
    <x v="6"/>
    <x v="2"/>
    <n v="49.7"/>
    <n v="149.10000000000002"/>
    <d v="2025-03-12T00:00:00"/>
    <d v="2025-03-14T00:00:00"/>
    <s v="M"/>
    <x v="0"/>
    <n v="3"/>
    <x v="0"/>
    <x v="8"/>
    <x v="1"/>
    <x v="10"/>
    <x v="1"/>
  </r>
  <r>
    <s v="TX501949"/>
    <x v="3"/>
    <x v="0"/>
    <n v="37.9"/>
    <n v="37.9"/>
    <d v="2025-03-12T00:00:00"/>
    <d v="2025-03-14T00:00:00"/>
    <s v="F"/>
    <x v="0"/>
    <n v="4"/>
    <x v="0"/>
    <x v="8"/>
    <x v="1"/>
    <x v="10"/>
    <x v="2"/>
  </r>
  <r>
    <s v="TX501950"/>
    <x v="13"/>
    <x v="20"/>
    <n v="32"/>
    <n v="480"/>
    <d v="2025-03-12T00:00:00"/>
    <d v="2025-03-14T00:00:00"/>
    <s v="F"/>
    <x v="4"/>
    <n v="4"/>
    <x v="0"/>
    <x v="11"/>
    <x v="1"/>
    <x v="10"/>
    <x v="2"/>
  </r>
  <r>
    <s v="TX501951"/>
    <x v="10"/>
    <x v="16"/>
    <n v="38.5"/>
    <n v="693"/>
    <d v="2025-03-13T00:00:00"/>
    <d v="2025-03-14T00:00:00"/>
    <s v="M"/>
    <x v="0"/>
    <n v="5"/>
    <x v="0"/>
    <x v="11"/>
    <x v="3"/>
    <x v="10"/>
    <x v="1"/>
  </r>
  <r>
    <s v="TX501952"/>
    <x v="0"/>
    <x v="12"/>
    <n v="11.7"/>
    <n v="46.8"/>
    <d v="2025-03-13T00:00:00"/>
    <d v="2025-03-15T00:00:00"/>
    <s v="F"/>
    <x v="1"/>
    <n v="4"/>
    <x v="0"/>
    <x v="20"/>
    <x v="1"/>
    <x v="10"/>
    <x v="2"/>
  </r>
  <r>
    <s v="TX501953"/>
    <x v="3"/>
    <x v="13"/>
    <n v="83.8"/>
    <n v="502.79999999999995"/>
    <d v="2025-03-13T00:00:00"/>
    <d v="2025-03-14T00:00:00"/>
    <s v="M"/>
    <x v="0"/>
    <n v="4"/>
    <x v="0"/>
    <x v="21"/>
    <x v="3"/>
    <x v="10"/>
    <x v="1"/>
  </r>
  <r>
    <s v="TX501954"/>
    <x v="0"/>
    <x v="3"/>
    <n v="14"/>
    <n v="98"/>
    <d v="2025-03-13T00:00:00"/>
    <d v="2025-03-16T00:00:00"/>
    <s v="M"/>
    <x v="0"/>
    <n v="3"/>
    <x v="0"/>
    <x v="22"/>
    <x v="2"/>
    <x v="10"/>
    <x v="1"/>
  </r>
  <r>
    <s v="TX501955"/>
    <x v="16"/>
    <x v="12"/>
    <n v="77.3"/>
    <n v="309.2"/>
    <d v="2025-03-13T00:00:00"/>
    <d v="2025-03-15T00:00:00"/>
    <s v="F"/>
    <x v="4"/>
    <n v="5"/>
    <x v="0"/>
    <x v="3"/>
    <x v="1"/>
    <x v="10"/>
    <x v="2"/>
  </r>
  <r>
    <s v="TX501956"/>
    <x v="2"/>
    <x v="1"/>
    <n v="76.900000000000006"/>
    <n v="153.80000000000001"/>
    <d v="2025-03-13T00:00:00"/>
    <d v="2025-03-17T00:00:00"/>
    <s v="F"/>
    <x v="0"/>
    <n v="3"/>
    <x v="0"/>
    <x v="3"/>
    <x v="5"/>
    <x v="10"/>
    <x v="2"/>
  </r>
  <r>
    <s v="TX501957"/>
    <x v="1"/>
    <x v="0"/>
    <n v="48"/>
    <n v="48"/>
    <d v="2025-03-13T00:00:00"/>
    <d v="2025-03-15T00:00:00"/>
    <s v="F"/>
    <x v="1"/>
    <n v="5"/>
    <x v="0"/>
    <x v="3"/>
    <x v="1"/>
    <x v="10"/>
    <x v="2"/>
  </r>
  <r>
    <s v="TX501958"/>
    <x v="2"/>
    <x v="0"/>
    <n v="94.5"/>
    <n v="94.5"/>
    <d v="2025-03-13T00:00:00"/>
    <d v="2025-03-16T00:00:00"/>
    <s v="M"/>
    <x v="1"/>
    <n v="3"/>
    <x v="0"/>
    <x v="3"/>
    <x v="2"/>
    <x v="10"/>
    <x v="1"/>
  </r>
  <r>
    <s v="TX501959"/>
    <x v="10"/>
    <x v="2"/>
    <n v="58.4"/>
    <n v="175.2"/>
    <d v="2025-03-13T00:00:00"/>
    <d v="2025-03-15T00:00:00"/>
    <s v="F"/>
    <x v="1"/>
    <n v="5"/>
    <x v="0"/>
    <x v="3"/>
    <x v="1"/>
    <x v="10"/>
    <x v="2"/>
  </r>
  <r>
    <s v="TX501960"/>
    <x v="7"/>
    <x v="15"/>
    <n v="42.2"/>
    <n v="548.6"/>
    <d v="2025-03-13T00:00:00"/>
    <d v="2025-03-13T00:00:00"/>
    <s v="M"/>
    <x v="0"/>
    <n v="4"/>
    <x v="0"/>
    <x v="25"/>
    <x v="7"/>
    <x v="10"/>
    <x v="1"/>
  </r>
  <r>
    <s v="TX501961"/>
    <x v="6"/>
    <x v="1"/>
    <n v="152.19999999999999"/>
    <n v="304.39999999999998"/>
    <d v="2025-03-13T00:00:00"/>
    <d v="2025-03-14T00:00:00"/>
    <s v="M"/>
    <x v="4"/>
    <n v="3"/>
    <x v="0"/>
    <x v="25"/>
    <x v="3"/>
    <x v="10"/>
    <x v="1"/>
  </r>
  <r>
    <s v="TX501962"/>
    <x v="6"/>
    <x v="25"/>
    <n v="72"/>
    <n v="1728"/>
    <d v="2025-03-13T00:00:00"/>
    <d v="2025-03-14T00:00:00"/>
    <s v="M"/>
    <x v="0"/>
    <n v="3"/>
    <x v="0"/>
    <x v="6"/>
    <x v="3"/>
    <x v="10"/>
    <x v="1"/>
  </r>
  <r>
    <s v="TX501963"/>
    <x v="1"/>
    <x v="44"/>
    <n v="70.900000000000006"/>
    <n v="1630.7"/>
    <d v="2025-03-13T00:00:00"/>
    <d v="2025-03-14T00:00:00"/>
    <s v="F"/>
    <x v="2"/>
    <n v="4"/>
    <x v="0"/>
    <x v="8"/>
    <x v="3"/>
    <x v="10"/>
    <x v="2"/>
  </r>
  <r>
    <s v="TX501964"/>
    <x v="2"/>
    <x v="1"/>
    <n v="53.7"/>
    <n v="107.4"/>
    <d v="2025-03-13T00:00:00"/>
    <d v="2025-03-14T00:00:00"/>
    <s v="M"/>
    <x v="2"/>
    <n v="5"/>
    <x v="0"/>
    <x v="8"/>
    <x v="3"/>
    <x v="10"/>
    <x v="1"/>
  </r>
  <r>
    <s v="TX501965"/>
    <x v="9"/>
    <x v="12"/>
    <n v="42.9"/>
    <n v="171.6"/>
    <d v="2025-03-13T00:00:00"/>
    <d v="2025-03-14T00:00:00"/>
    <s v="F"/>
    <x v="2"/>
    <n v="2"/>
    <x v="0"/>
    <x v="9"/>
    <x v="3"/>
    <x v="10"/>
    <x v="2"/>
  </r>
  <r>
    <s v="TX501966"/>
    <x v="2"/>
    <x v="3"/>
    <n v="107.5"/>
    <n v="752.5"/>
    <d v="2025-03-13T00:00:00"/>
    <d v="2025-03-14T00:00:00"/>
    <s v="M"/>
    <x v="1"/>
    <n v="4"/>
    <x v="0"/>
    <x v="11"/>
    <x v="3"/>
    <x v="10"/>
    <x v="1"/>
  </r>
  <r>
    <s v="TX501967"/>
    <x v="17"/>
    <x v="27"/>
    <n v="21.5"/>
    <n v="344"/>
    <d v="2025-03-13T00:00:00"/>
    <d v="2025-03-14T00:00:00"/>
    <s v="M"/>
    <x v="1"/>
    <n v="3"/>
    <x v="0"/>
    <x v="32"/>
    <x v="3"/>
    <x v="10"/>
    <x v="1"/>
  </r>
  <r>
    <s v="TX501968"/>
    <x v="3"/>
    <x v="9"/>
    <n v="85.3"/>
    <n v="426.5"/>
    <d v="2025-03-13T00:00:00"/>
    <d v="2025-03-15T00:00:00"/>
    <s v="F"/>
    <x v="3"/>
    <n v="4"/>
    <x v="0"/>
    <x v="18"/>
    <x v="1"/>
    <x v="10"/>
    <x v="2"/>
  </r>
  <r>
    <s v="TX501969"/>
    <x v="7"/>
    <x v="9"/>
    <n v="80.8"/>
    <n v="404"/>
    <d v="2025-03-13T00:00:00"/>
    <d v="2025-03-21T00:00:00"/>
    <s v="O"/>
    <x v="1"/>
    <n v="3"/>
    <x v="0"/>
    <x v="19"/>
    <x v="9"/>
    <x v="10"/>
    <x v="3"/>
  </r>
  <r>
    <s v="TX501970"/>
    <x v="2"/>
    <x v="2"/>
    <n v="123.1"/>
    <n v="369.29999999999995"/>
    <d v="2025-03-13T00:00:00"/>
    <d v="2025-03-15T00:00:00"/>
    <s v=""/>
    <x v="2"/>
    <n v="4"/>
    <x v="0"/>
    <x v="21"/>
    <x v="1"/>
    <x v="10"/>
    <x v="0"/>
  </r>
  <r>
    <s v="TX501971"/>
    <x v="8"/>
    <x v="1"/>
    <n v="36.9"/>
    <n v="73.8"/>
    <d v="2025-03-13T00:00:00"/>
    <d v="2025-03-15T00:00:00"/>
    <s v="F"/>
    <x v="2"/>
    <n v="2"/>
    <x v="0"/>
    <x v="51"/>
    <x v="1"/>
    <x v="10"/>
    <x v="2"/>
  </r>
  <r>
    <s v="TX501972"/>
    <x v="11"/>
    <x v="9"/>
    <n v="40"/>
    <n v="200"/>
    <d v="2025-03-13T00:00:00"/>
    <d v="2025-03-14T00:00:00"/>
    <s v="M"/>
    <x v="0"/>
    <n v="4"/>
    <x v="0"/>
    <x v="1"/>
    <x v="3"/>
    <x v="10"/>
    <x v="1"/>
  </r>
  <r>
    <s v="TX501973"/>
    <x v="6"/>
    <x v="2"/>
    <n v="55.5"/>
    <n v="166.5"/>
    <d v="2025-03-13T00:00:00"/>
    <d v="2025-03-14T00:00:00"/>
    <s v="M"/>
    <x v="4"/>
    <n v="5"/>
    <x v="0"/>
    <x v="1"/>
    <x v="3"/>
    <x v="10"/>
    <x v="1"/>
  </r>
  <r>
    <s v="TX501974"/>
    <x v="0"/>
    <x v="12"/>
    <n v="20.5"/>
    <n v="82"/>
    <d v="2025-03-13T00:00:00"/>
    <d v="2025-03-17T00:00:00"/>
    <s v="F"/>
    <x v="4"/>
    <n v="4"/>
    <x v="0"/>
    <x v="1"/>
    <x v="5"/>
    <x v="10"/>
    <x v="2"/>
  </r>
  <r>
    <s v="TX501975"/>
    <x v="18"/>
    <x v="12"/>
    <n v="50.1"/>
    <n v="200.4"/>
    <d v="2025-03-13T00:00:00"/>
    <d v="2025-03-14T00:00:00"/>
    <s v="F"/>
    <x v="4"/>
    <n v="4"/>
    <x v="0"/>
    <x v="1"/>
    <x v="3"/>
    <x v="10"/>
    <x v="2"/>
  </r>
  <r>
    <s v="TX501976"/>
    <x v="9"/>
    <x v="0"/>
    <n v="35.9"/>
    <n v="35.9"/>
    <d v="2025-03-13T00:00:00"/>
    <d v="2025-03-15T00:00:00"/>
    <s v="M"/>
    <x v="1"/>
    <n v="5"/>
    <x v="0"/>
    <x v="1"/>
    <x v="1"/>
    <x v="10"/>
    <x v="1"/>
  </r>
  <r>
    <s v="TX501977"/>
    <x v="13"/>
    <x v="12"/>
    <n v="29.4"/>
    <n v="117.6"/>
    <d v="2025-03-14T00:00:00"/>
    <d v="2025-03-15T00:00:00"/>
    <s v="M"/>
    <x v="2"/>
    <n v="5"/>
    <x v="0"/>
    <x v="33"/>
    <x v="3"/>
    <x v="10"/>
    <x v="1"/>
  </r>
  <r>
    <s v="TX501978"/>
    <x v="8"/>
    <x v="9"/>
    <n v="29.1"/>
    <n v="145.5"/>
    <d v="2025-03-14T00:00:00"/>
    <d v="2025-03-22T00:00:00"/>
    <s v="O"/>
    <x v="2"/>
    <n v="3"/>
    <x v="0"/>
    <x v="33"/>
    <x v="9"/>
    <x v="10"/>
    <x v="3"/>
  </r>
  <r>
    <s v="TX501979"/>
    <x v="8"/>
    <x v="2"/>
    <n v="33.5"/>
    <n v="100.5"/>
    <d v="2025-03-14T00:00:00"/>
    <d v="2025-03-26T00:00:00"/>
    <s v="M"/>
    <x v="0"/>
    <n v="5"/>
    <x v="0"/>
    <x v="22"/>
    <x v="13"/>
    <x v="10"/>
    <x v="1"/>
  </r>
  <r>
    <s v="TX501980"/>
    <x v="4"/>
    <x v="7"/>
    <n v="36"/>
    <n v="360"/>
    <d v="2025-03-14T00:00:00"/>
    <d v="2025-03-14T00:00:00"/>
    <s v="M"/>
    <x v="3"/>
    <n v="5"/>
    <x v="0"/>
    <x v="3"/>
    <x v="7"/>
    <x v="10"/>
    <x v="1"/>
  </r>
  <r>
    <s v="TX501981"/>
    <x v="16"/>
    <x v="2"/>
    <n v="57.3"/>
    <n v="171.89999999999998"/>
    <d v="2025-03-14T00:00:00"/>
    <d v="2025-03-18T00:00:00"/>
    <s v="F"/>
    <x v="0"/>
    <n v="5"/>
    <x v="0"/>
    <x v="3"/>
    <x v="5"/>
    <x v="10"/>
    <x v="2"/>
  </r>
  <r>
    <s v="TX501982"/>
    <x v="1"/>
    <x v="0"/>
    <n v="81.400000000000006"/>
    <n v="81.400000000000006"/>
    <d v="2025-03-14T00:00:00"/>
    <d v="2025-03-15T00:00:00"/>
    <s v="F"/>
    <x v="2"/>
    <n v="5"/>
    <x v="0"/>
    <x v="3"/>
    <x v="3"/>
    <x v="10"/>
    <x v="2"/>
  </r>
  <r>
    <s v="TX501983"/>
    <x v="10"/>
    <x v="1"/>
    <n v="35.299999999999997"/>
    <n v="70.599999999999994"/>
    <d v="2025-03-14T00:00:00"/>
    <d v="2025-03-18T00:00:00"/>
    <s v="M"/>
    <x v="0"/>
    <n v="5"/>
    <x v="0"/>
    <x v="3"/>
    <x v="5"/>
    <x v="10"/>
    <x v="1"/>
  </r>
  <r>
    <s v="TX501984"/>
    <x v="3"/>
    <x v="0"/>
    <n v="36.1"/>
    <n v="36.1"/>
    <d v="2025-03-14T00:00:00"/>
    <d v="2025-03-15T00:00:00"/>
    <s v="F"/>
    <x v="4"/>
    <n v="4"/>
    <x v="0"/>
    <x v="3"/>
    <x v="3"/>
    <x v="10"/>
    <x v="2"/>
  </r>
  <r>
    <s v="TX501985"/>
    <x v="1"/>
    <x v="1"/>
    <n v="36.700000000000003"/>
    <n v="73.400000000000006"/>
    <d v="2025-03-14T00:00:00"/>
    <d v="2025-03-16T00:00:00"/>
    <s v="F"/>
    <x v="0"/>
    <n v="5"/>
    <x v="0"/>
    <x v="3"/>
    <x v="1"/>
    <x v="10"/>
    <x v="2"/>
  </r>
  <r>
    <s v="TX501986"/>
    <x v="10"/>
    <x v="0"/>
    <n v="20.9"/>
    <n v="20.9"/>
    <d v="2025-03-14T00:00:00"/>
    <d v="2025-03-16T00:00:00"/>
    <s v="F"/>
    <x v="0"/>
    <n v="2"/>
    <x v="0"/>
    <x v="3"/>
    <x v="1"/>
    <x v="10"/>
    <x v="2"/>
  </r>
  <r>
    <s v="TX501987"/>
    <x v="12"/>
    <x v="2"/>
    <n v="58.8"/>
    <n v="176.39999999999998"/>
    <d v="2025-03-14T00:00:00"/>
    <d v="2025-03-18T00:00:00"/>
    <s v="M"/>
    <x v="0"/>
    <n v="5"/>
    <x v="0"/>
    <x v="25"/>
    <x v="5"/>
    <x v="10"/>
    <x v="1"/>
  </r>
  <r>
    <s v="TX501988"/>
    <x v="2"/>
    <x v="2"/>
    <n v="97.6"/>
    <n v="292.79999999999995"/>
    <d v="2025-03-15T00:00:00"/>
    <d v="2025-03-17T00:00:00"/>
    <s v=""/>
    <x v="0"/>
    <n v="4"/>
    <x v="0"/>
    <x v="6"/>
    <x v="1"/>
    <x v="10"/>
    <x v="0"/>
  </r>
  <r>
    <s v="TX501989"/>
    <x v="1"/>
    <x v="1"/>
    <n v="58.7"/>
    <n v="117.4"/>
    <d v="2025-03-15T00:00:00"/>
    <d v="2025-03-18T00:00:00"/>
    <s v="F"/>
    <x v="0"/>
    <n v="3"/>
    <x v="0"/>
    <x v="6"/>
    <x v="2"/>
    <x v="10"/>
    <x v="2"/>
  </r>
  <r>
    <s v="TX501990"/>
    <x v="6"/>
    <x v="9"/>
    <n v="71.900000000000006"/>
    <n v="359.5"/>
    <d v="2025-03-15T00:00:00"/>
    <d v="2025-03-16T00:00:00"/>
    <s v=""/>
    <x v="0"/>
    <n v="3"/>
    <x v="0"/>
    <x v="6"/>
    <x v="3"/>
    <x v="10"/>
    <x v="0"/>
  </r>
  <r>
    <s v="TX501991"/>
    <x v="1"/>
    <x v="1"/>
    <n v="62.4"/>
    <n v="124.8"/>
    <d v="2025-03-15T00:00:00"/>
    <d v="2025-03-17T00:00:00"/>
    <s v=""/>
    <x v="0"/>
    <n v="3"/>
    <x v="0"/>
    <x v="8"/>
    <x v="1"/>
    <x v="10"/>
    <x v="0"/>
  </r>
  <r>
    <s v="TX501992"/>
    <x v="6"/>
    <x v="27"/>
    <n v="53.8"/>
    <n v="860.8"/>
    <d v="2025-03-15T00:00:00"/>
    <d v="2025-03-16T00:00:00"/>
    <s v="F"/>
    <x v="1"/>
    <n v="4"/>
    <x v="0"/>
    <x v="8"/>
    <x v="3"/>
    <x v="10"/>
    <x v="2"/>
  </r>
  <r>
    <s v="TX501993"/>
    <x v="9"/>
    <x v="0"/>
    <n v="43.8"/>
    <n v="43.8"/>
    <d v="2025-03-15T00:00:00"/>
    <d v="2025-03-22T00:00:00"/>
    <s v="F"/>
    <x v="0"/>
    <n v="5"/>
    <x v="0"/>
    <x v="8"/>
    <x v="6"/>
    <x v="10"/>
    <x v="2"/>
  </r>
  <r>
    <s v="TX501994"/>
    <x v="5"/>
    <x v="2"/>
    <n v="53.6"/>
    <n v="160.80000000000001"/>
    <d v="2025-03-15T00:00:00"/>
    <d v="2025-03-16T00:00:00"/>
    <s v="M"/>
    <x v="3"/>
    <n v="4"/>
    <x v="0"/>
    <x v="8"/>
    <x v="3"/>
    <x v="10"/>
    <x v="1"/>
  </r>
  <r>
    <s v="TX501995"/>
    <x v="12"/>
    <x v="1"/>
    <n v="84.3"/>
    <n v="168.6"/>
    <d v="2025-03-15T00:00:00"/>
    <d v="2025-03-18T00:00:00"/>
    <s v="M"/>
    <x v="4"/>
    <n v="3"/>
    <x v="0"/>
    <x v="8"/>
    <x v="2"/>
    <x v="10"/>
    <x v="1"/>
  </r>
  <r>
    <s v="TX501996"/>
    <x v="6"/>
    <x v="11"/>
    <n v="117.9"/>
    <n v="1061.1000000000001"/>
    <d v="2025-03-15T00:00:00"/>
    <d v="2025-03-16T00:00:00"/>
    <s v="F"/>
    <x v="1"/>
    <n v="5"/>
    <x v="0"/>
    <x v="8"/>
    <x v="3"/>
    <x v="10"/>
    <x v="2"/>
  </r>
  <r>
    <s v="TX501997"/>
    <x v="4"/>
    <x v="8"/>
    <n v="30"/>
    <n v="240"/>
    <d v="2025-03-15T00:00:00"/>
    <d v="2025-03-16T00:00:00"/>
    <s v="F"/>
    <x v="1"/>
    <n v="4"/>
    <x v="0"/>
    <x v="26"/>
    <x v="3"/>
    <x v="10"/>
    <x v="2"/>
  </r>
  <r>
    <s v="TX501998"/>
    <x v="14"/>
    <x v="2"/>
    <n v="37.299999999999997"/>
    <n v="111.89999999999999"/>
    <d v="2025-03-15T00:00:00"/>
    <d v="2025-03-16T00:00:00"/>
    <s v="M"/>
    <x v="2"/>
    <n v="4"/>
    <x v="0"/>
    <x v="9"/>
    <x v="3"/>
    <x v="10"/>
    <x v="1"/>
  </r>
  <r>
    <s v="TX501999"/>
    <x v="4"/>
    <x v="11"/>
    <n v="25.1"/>
    <n v="225.9"/>
    <d v="2025-03-15T00:00:00"/>
    <d v="2025-03-17T00:00:00"/>
    <s v="M"/>
    <x v="1"/>
    <n v="5"/>
    <x v="0"/>
    <x v="11"/>
    <x v="1"/>
    <x v="10"/>
    <x v="1"/>
  </r>
  <r>
    <s v="TX502000"/>
    <x v="8"/>
    <x v="5"/>
    <n v="36"/>
    <n v="396"/>
    <d v="2025-03-15T00:00:00"/>
    <d v="2025-03-25T00:00:00"/>
    <s v="M"/>
    <x v="1"/>
    <n v="4"/>
    <x v="0"/>
    <x v="18"/>
    <x v="14"/>
    <x v="10"/>
    <x v="1"/>
  </r>
  <r>
    <s v="TX502001"/>
    <x v="16"/>
    <x v="2"/>
    <n v="48.5"/>
    <n v="145.5"/>
    <d v="2025-03-15T00:00:00"/>
    <d v="2025-03-19T00:00:00"/>
    <s v="F"/>
    <x v="1"/>
    <n v="4"/>
    <x v="0"/>
    <x v="19"/>
    <x v="5"/>
    <x v="10"/>
    <x v="2"/>
  </r>
  <r>
    <s v="TX502002"/>
    <x v="17"/>
    <x v="13"/>
    <n v="21.1"/>
    <n v="126.60000000000001"/>
    <d v="2025-03-15T00:00:00"/>
    <d v="2025-03-16T00:00:00"/>
    <s v="M"/>
    <x v="1"/>
    <n v="5"/>
    <x v="0"/>
    <x v="21"/>
    <x v="3"/>
    <x v="10"/>
    <x v="1"/>
  </r>
  <r>
    <s v="TX502003"/>
    <x v="15"/>
    <x v="21"/>
    <n v="43.2"/>
    <n v="604.80000000000007"/>
    <d v="2025-03-15T00:00:00"/>
    <d v="2025-03-16T00:00:00"/>
    <s v="O"/>
    <x v="0"/>
    <n v="3"/>
    <x v="0"/>
    <x v="21"/>
    <x v="3"/>
    <x v="10"/>
    <x v="3"/>
  </r>
  <r>
    <s v="TX502004"/>
    <x v="9"/>
    <x v="1"/>
    <n v="21.1"/>
    <n v="42.2"/>
    <d v="2025-03-15T00:00:00"/>
    <d v="2025-03-16T00:00:00"/>
    <s v=""/>
    <x v="3"/>
    <n v="3"/>
    <x v="0"/>
    <x v="21"/>
    <x v="3"/>
    <x v="10"/>
    <x v="0"/>
  </r>
  <r>
    <s v="TX502005"/>
    <x v="6"/>
    <x v="12"/>
    <n v="41.3"/>
    <n v="165.2"/>
    <d v="2025-03-15T00:00:00"/>
    <d v="2025-03-17T00:00:00"/>
    <s v="F"/>
    <x v="3"/>
    <n v="5"/>
    <x v="0"/>
    <x v="1"/>
    <x v="1"/>
    <x v="10"/>
    <x v="2"/>
  </r>
  <r>
    <s v="TX502006"/>
    <x v="8"/>
    <x v="1"/>
    <n v="15.3"/>
    <n v="30.6"/>
    <d v="2025-03-15T00:00:00"/>
    <d v="2025-03-18T00:00:00"/>
    <s v=""/>
    <x v="2"/>
    <n v="5"/>
    <x v="0"/>
    <x v="1"/>
    <x v="2"/>
    <x v="10"/>
    <x v="0"/>
  </r>
  <r>
    <s v="TX502007"/>
    <x v="1"/>
    <x v="0"/>
    <n v="54.6"/>
    <n v="54.6"/>
    <d v="2025-03-15T00:00:00"/>
    <d v="2025-03-17T00:00:00"/>
    <s v="M"/>
    <x v="1"/>
    <n v="3"/>
    <x v="0"/>
    <x v="2"/>
    <x v="1"/>
    <x v="10"/>
    <x v="1"/>
  </r>
  <r>
    <s v="TX502008"/>
    <x v="8"/>
    <x v="0"/>
    <n v="15.9"/>
    <n v="15.9"/>
    <d v="2025-03-15T00:00:00"/>
    <d v="2025-03-16T00:00:00"/>
    <s v="M"/>
    <x v="0"/>
    <n v="3"/>
    <x v="0"/>
    <x v="22"/>
    <x v="3"/>
    <x v="10"/>
    <x v="1"/>
  </r>
  <r>
    <s v="TX502009"/>
    <x v="9"/>
    <x v="0"/>
    <n v="50.2"/>
    <n v="50.2"/>
    <d v="2025-03-15T00:00:00"/>
    <d v="2025-03-17T00:00:00"/>
    <s v="F"/>
    <x v="3"/>
    <n v="5"/>
    <x v="0"/>
    <x v="34"/>
    <x v="1"/>
    <x v="10"/>
    <x v="2"/>
  </r>
  <r>
    <s v="TX502010"/>
    <x v="11"/>
    <x v="12"/>
    <n v="85.1"/>
    <n v="340.4"/>
    <d v="2025-03-15T00:00:00"/>
    <d v="2025-03-16T00:00:00"/>
    <s v="F"/>
    <x v="3"/>
    <n v="2"/>
    <x v="0"/>
    <x v="34"/>
    <x v="3"/>
    <x v="10"/>
    <x v="2"/>
  </r>
  <r>
    <s v="TX502011"/>
    <x v="11"/>
    <x v="1"/>
    <n v="41.4"/>
    <n v="82.8"/>
    <d v="2025-03-15T00:00:00"/>
    <d v="2025-03-16T00:00:00"/>
    <s v="F"/>
    <x v="0"/>
    <n v="5"/>
    <x v="0"/>
    <x v="3"/>
    <x v="3"/>
    <x v="10"/>
    <x v="2"/>
  </r>
  <r>
    <s v="TX502012"/>
    <x v="4"/>
    <x v="3"/>
    <n v="32.700000000000003"/>
    <n v="228.90000000000003"/>
    <d v="2025-03-15T00:00:00"/>
    <d v="2025-03-16T00:00:00"/>
    <s v="F"/>
    <x v="2"/>
    <n v="3"/>
    <x v="0"/>
    <x v="3"/>
    <x v="3"/>
    <x v="10"/>
    <x v="2"/>
  </r>
  <r>
    <s v="TX502013"/>
    <x v="4"/>
    <x v="1"/>
    <n v="41.6"/>
    <n v="83.2"/>
    <d v="2025-03-15T00:00:00"/>
    <d v="2025-03-17T00:00:00"/>
    <s v="M"/>
    <x v="4"/>
    <n v="3"/>
    <x v="0"/>
    <x v="3"/>
    <x v="1"/>
    <x v="10"/>
    <x v="1"/>
  </r>
  <r>
    <s v="TX502014"/>
    <x v="5"/>
    <x v="12"/>
    <n v="64.8"/>
    <n v="259.2"/>
    <d v="2025-03-15T00:00:00"/>
    <d v="2025-03-16T00:00:00"/>
    <s v=""/>
    <x v="2"/>
    <n v="4"/>
    <x v="0"/>
    <x v="3"/>
    <x v="3"/>
    <x v="10"/>
    <x v="0"/>
  </r>
  <r>
    <s v="TX502015"/>
    <x v="15"/>
    <x v="1"/>
    <n v="33.6"/>
    <n v="67.2"/>
    <d v="2025-03-15T00:00:00"/>
    <d v="2025-03-16T00:00:00"/>
    <s v="M"/>
    <x v="0"/>
    <n v="5"/>
    <x v="0"/>
    <x v="3"/>
    <x v="3"/>
    <x v="10"/>
    <x v="1"/>
  </r>
  <r>
    <s v="TX502016"/>
    <x v="6"/>
    <x v="2"/>
    <n v="100.7"/>
    <n v="302.10000000000002"/>
    <d v="2025-03-15T00:00:00"/>
    <d v="2025-03-16T00:00:00"/>
    <s v=""/>
    <x v="1"/>
    <n v="4"/>
    <x v="0"/>
    <x v="3"/>
    <x v="3"/>
    <x v="10"/>
    <x v="0"/>
  </r>
  <r>
    <s v="TX502017"/>
    <x v="4"/>
    <x v="1"/>
    <n v="49.3"/>
    <n v="98.6"/>
    <d v="2025-03-16T00:00:00"/>
    <d v="2025-03-18T00:00:00"/>
    <s v="F"/>
    <x v="4"/>
    <n v="5"/>
    <x v="0"/>
    <x v="3"/>
    <x v="1"/>
    <x v="11"/>
    <x v="2"/>
  </r>
  <r>
    <s v="TX502018"/>
    <x v="2"/>
    <x v="13"/>
    <n v="97"/>
    <n v="582"/>
    <d v="2025-03-16T00:00:00"/>
    <d v="2025-03-19T00:00:00"/>
    <s v="M"/>
    <x v="2"/>
    <n v="5"/>
    <x v="0"/>
    <x v="3"/>
    <x v="2"/>
    <x v="11"/>
    <x v="1"/>
  </r>
  <r>
    <s v="TX502019"/>
    <x v="0"/>
    <x v="13"/>
    <n v="25.2"/>
    <n v="151.19999999999999"/>
    <d v="2025-03-16T00:00:00"/>
    <d v="2025-03-19T00:00:00"/>
    <s v="F"/>
    <x v="4"/>
    <n v="5"/>
    <x v="0"/>
    <x v="3"/>
    <x v="2"/>
    <x v="11"/>
    <x v="2"/>
  </r>
  <r>
    <s v="TX502020"/>
    <x v="0"/>
    <x v="5"/>
    <n v="12.2"/>
    <n v="134.19999999999999"/>
    <d v="2025-03-16T00:00:00"/>
    <d v="2025-03-17T00:00:00"/>
    <s v=""/>
    <x v="0"/>
    <n v="3"/>
    <x v="0"/>
    <x v="3"/>
    <x v="3"/>
    <x v="11"/>
    <x v="0"/>
  </r>
  <r>
    <s v="TX502021"/>
    <x v="8"/>
    <x v="3"/>
    <n v="38.799999999999997"/>
    <n v="271.59999999999997"/>
    <d v="2025-03-16T00:00:00"/>
    <d v="2025-03-18T00:00:00"/>
    <s v="F"/>
    <x v="1"/>
    <n v="3"/>
    <x v="0"/>
    <x v="23"/>
    <x v="1"/>
    <x v="11"/>
    <x v="2"/>
  </r>
  <r>
    <s v="TX502022"/>
    <x v="2"/>
    <x v="12"/>
    <n v="53.2"/>
    <n v="212.8"/>
    <d v="2025-03-16T00:00:00"/>
    <d v="2025-03-17T00:00:00"/>
    <s v="M"/>
    <x v="0"/>
    <n v="5"/>
    <x v="0"/>
    <x v="8"/>
    <x v="3"/>
    <x v="11"/>
    <x v="1"/>
  </r>
  <r>
    <s v="TX502023"/>
    <x v="6"/>
    <x v="3"/>
    <n v="151"/>
    <n v="1057"/>
    <d v="2025-03-16T00:00:00"/>
    <d v="2025-03-17T00:00:00"/>
    <s v="O"/>
    <x v="1"/>
    <n v="3"/>
    <x v="0"/>
    <x v="8"/>
    <x v="3"/>
    <x v="11"/>
    <x v="3"/>
  </r>
  <r>
    <s v="TX502024"/>
    <x v="1"/>
    <x v="1"/>
    <n v="37.1"/>
    <n v="74.2"/>
    <d v="2025-03-16T00:00:00"/>
    <d v="2025-03-17T00:00:00"/>
    <s v="F"/>
    <x v="4"/>
    <n v="4"/>
    <x v="0"/>
    <x v="8"/>
    <x v="3"/>
    <x v="11"/>
    <x v="2"/>
  </r>
  <r>
    <s v="TX502025"/>
    <x v="5"/>
    <x v="1"/>
    <n v="38.9"/>
    <n v="77.8"/>
    <d v="2025-03-16T00:00:00"/>
    <d v="2025-03-17T00:00:00"/>
    <s v="M"/>
    <x v="4"/>
    <n v="4"/>
    <x v="0"/>
    <x v="8"/>
    <x v="3"/>
    <x v="11"/>
    <x v="1"/>
  </r>
  <r>
    <s v="TX502026"/>
    <x v="10"/>
    <x v="1"/>
    <n v="35.200000000000003"/>
    <n v="70.400000000000006"/>
    <d v="2025-03-16T00:00:00"/>
    <d v="2025-03-17T00:00:00"/>
    <s v="M"/>
    <x v="0"/>
    <n v="5"/>
    <x v="0"/>
    <x v="17"/>
    <x v="3"/>
    <x v="11"/>
    <x v="1"/>
  </r>
  <r>
    <s v="TX502027"/>
    <x v="0"/>
    <x v="1"/>
    <n v="22.3"/>
    <n v="44.6"/>
    <d v="2025-03-16T00:00:00"/>
    <d v="2025-03-18T00:00:00"/>
    <s v="F"/>
    <x v="1"/>
    <n v="4"/>
    <x v="0"/>
    <x v="9"/>
    <x v="1"/>
    <x v="11"/>
    <x v="2"/>
  </r>
  <r>
    <s v="TX502028"/>
    <x v="9"/>
    <x v="0"/>
    <n v="43.3"/>
    <n v="43.3"/>
    <d v="2025-03-16T00:00:00"/>
    <d v="2025-03-19T00:00:00"/>
    <s v="F"/>
    <x v="0"/>
    <n v="5"/>
    <x v="0"/>
    <x v="11"/>
    <x v="2"/>
    <x v="11"/>
    <x v="2"/>
  </r>
  <r>
    <s v="TX502029"/>
    <x v="6"/>
    <x v="13"/>
    <n v="75.900000000000006"/>
    <n v="455.40000000000003"/>
    <d v="2025-03-16T00:00:00"/>
    <d v="2025-03-22T00:00:00"/>
    <s v="M"/>
    <x v="0"/>
    <n v="4"/>
    <x v="0"/>
    <x v="11"/>
    <x v="4"/>
    <x v="11"/>
    <x v="1"/>
  </r>
  <r>
    <s v="TX502030"/>
    <x v="6"/>
    <x v="2"/>
    <n v="78.7"/>
    <n v="236.10000000000002"/>
    <d v="2025-03-16T00:00:00"/>
    <d v="2025-03-20T00:00:00"/>
    <s v="F"/>
    <x v="2"/>
    <n v="3"/>
    <x v="0"/>
    <x v="11"/>
    <x v="5"/>
    <x v="11"/>
    <x v="2"/>
  </r>
  <r>
    <s v="TX502031"/>
    <x v="1"/>
    <x v="0"/>
    <n v="66.3"/>
    <n v="66.3"/>
    <d v="2025-03-16T00:00:00"/>
    <d v="2025-03-20T00:00:00"/>
    <s v="F"/>
    <x v="0"/>
    <n v="5"/>
    <x v="0"/>
    <x v="19"/>
    <x v="5"/>
    <x v="11"/>
    <x v="2"/>
  </r>
  <r>
    <s v="TX502032"/>
    <x v="8"/>
    <x v="1"/>
    <n v="33.6"/>
    <n v="67.2"/>
    <d v="2025-03-16T00:00:00"/>
    <d v="2025-03-16T00:00:00"/>
    <s v="M"/>
    <x v="0"/>
    <n v="3"/>
    <x v="0"/>
    <x v="19"/>
    <x v="7"/>
    <x v="11"/>
    <x v="1"/>
  </r>
  <r>
    <s v="TX502033"/>
    <x v="2"/>
    <x v="3"/>
    <n v="61.4"/>
    <n v="429.8"/>
    <d v="2025-03-16T00:00:00"/>
    <d v="2025-03-17T00:00:00"/>
    <s v="M"/>
    <x v="4"/>
    <n v="4"/>
    <x v="0"/>
    <x v="19"/>
    <x v="3"/>
    <x v="11"/>
    <x v="1"/>
  </r>
  <r>
    <s v="TX502034"/>
    <x v="8"/>
    <x v="1"/>
    <n v="17.5"/>
    <n v="35"/>
    <d v="2025-03-16T00:00:00"/>
    <d v="2025-03-19T00:00:00"/>
    <s v="F"/>
    <x v="0"/>
    <n v="4"/>
    <x v="0"/>
    <x v="21"/>
    <x v="2"/>
    <x v="11"/>
    <x v="2"/>
  </r>
  <r>
    <s v="TX502035"/>
    <x v="8"/>
    <x v="1"/>
    <n v="32.5"/>
    <n v="65"/>
    <d v="2025-03-16T00:00:00"/>
    <d v="2025-03-19T00:00:00"/>
    <s v="F"/>
    <x v="1"/>
    <n v="4"/>
    <x v="0"/>
    <x v="21"/>
    <x v="2"/>
    <x v="11"/>
    <x v="2"/>
  </r>
  <r>
    <s v="TX502036"/>
    <x v="4"/>
    <x v="0"/>
    <n v="34.6"/>
    <n v="34.6"/>
    <d v="2025-03-16T00:00:00"/>
    <d v="2025-03-17T00:00:00"/>
    <s v="F"/>
    <x v="4"/>
    <n v="4"/>
    <x v="0"/>
    <x v="21"/>
    <x v="3"/>
    <x v="11"/>
    <x v="2"/>
  </r>
  <r>
    <s v="TX502037"/>
    <x v="2"/>
    <x v="0"/>
    <n v="75.900000000000006"/>
    <n v="75.900000000000006"/>
    <d v="2025-03-16T00:00:00"/>
    <d v="2025-03-16T00:00:00"/>
    <s v="M"/>
    <x v="1"/>
    <n v="5"/>
    <x v="0"/>
    <x v="21"/>
    <x v="7"/>
    <x v="11"/>
    <x v="1"/>
  </r>
  <r>
    <s v="TX502038"/>
    <x v="1"/>
    <x v="2"/>
    <n v="42.1"/>
    <n v="126.30000000000001"/>
    <d v="2025-03-16T00:00:00"/>
    <d v="2025-03-19T00:00:00"/>
    <s v="M"/>
    <x v="1"/>
    <n v="3"/>
    <x v="0"/>
    <x v="21"/>
    <x v="2"/>
    <x v="11"/>
    <x v="1"/>
  </r>
  <r>
    <s v="TX502039"/>
    <x v="7"/>
    <x v="2"/>
    <n v="65.3"/>
    <n v="195.89999999999998"/>
    <d v="2025-03-16T00:00:00"/>
    <d v="2025-03-23T00:00:00"/>
    <s v="M"/>
    <x v="0"/>
    <n v="4"/>
    <x v="0"/>
    <x v="1"/>
    <x v="6"/>
    <x v="11"/>
    <x v="1"/>
  </r>
  <r>
    <s v="TX502040"/>
    <x v="15"/>
    <x v="0"/>
    <n v="20.6"/>
    <n v="20.6"/>
    <d v="2025-03-16T00:00:00"/>
    <d v="2025-03-19T00:00:00"/>
    <s v="M"/>
    <x v="3"/>
    <n v="4"/>
    <x v="0"/>
    <x v="42"/>
    <x v="2"/>
    <x v="11"/>
    <x v="1"/>
  </r>
  <r>
    <s v="TX502041"/>
    <x v="8"/>
    <x v="3"/>
    <n v="16.5"/>
    <n v="115.5"/>
    <d v="2025-03-16T00:00:00"/>
    <d v="2025-03-17T00:00:00"/>
    <s v="M"/>
    <x v="1"/>
    <n v="3"/>
    <x v="0"/>
    <x v="2"/>
    <x v="3"/>
    <x v="11"/>
    <x v="1"/>
  </r>
  <r>
    <s v="TX502042"/>
    <x v="16"/>
    <x v="7"/>
    <n v="36.200000000000003"/>
    <n v="362"/>
    <d v="2025-03-16T00:00:00"/>
    <d v="2025-03-18T00:00:00"/>
    <s v="M"/>
    <x v="0"/>
    <n v="5"/>
    <x v="0"/>
    <x v="2"/>
    <x v="1"/>
    <x v="11"/>
    <x v="1"/>
  </r>
  <r>
    <s v="TX502043"/>
    <x v="6"/>
    <x v="0"/>
    <n v="53.2"/>
    <n v="53.2"/>
    <d v="2025-03-16T00:00:00"/>
    <d v="2025-03-17T00:00:00"/>
    <s v="F"/>
    <x v="0"/>
    <n v="3"/>
    <x v="0"/>
    <x v="22"/>
    <x v="3"/>
    <x v="11"/>
    <x v="2"/>
  </r>
  <r>
    <s v="TX502044"/>
    <x v="2"/>
    <x v="21"/>
    <n v="176"/>
    <n v="2464"/>
    <d v="2025-03-16T00:00:00"/>
    <d v="2025-03-17T00:00:00"/>
    <s v="F"/>
    <x v="0"/>
    <n v="3"/>
    <x v="0"/>
    <x v="3"/>
    <x v="3"/>
    <x v="11"/>
    <x v="2"/>
  </r>
  <r>
    <s v="TX502045"/>
    <x v="1"/>
    <x v="0"/>
    <n v="52.4"/>
    <n v="52.4"/>
    <d v="2025-03-16T00:00:00"/>
    <d v="2025-03-17T00:00:00"/>
    <s v="M"/>
    <x v="1"/>
    <n v="4"/>
    <x v="0"/>
    <x v="3"/>
    <x v="3"/>
    <x v="11"/>
    <x v="1"/>
  </r>
  <r>
    <s v="TX502046"/>
    <x v="10"/>
    <x v="2"/>
    <n v="48.2"/>
    <n v="144.60000000000002"/>
    <d v="2025-03-16T00:00:00"/>
    <d v="2025-03-17T00:00:00"/>
    <s v="F"/>
    <x v="1"/>
    <n v="5"/>
    <x v="0"/>
    <x v="3"/>
    <x v="3"/>
    <x v="11"/>
    <x v="2"/>
  </r>
  <r>
    <s v="TX502047"/>
    <x v="15"/>
    <x v="0"/>
    <n v="51.6"/>
    <n v="51.6"/>
    <d v="2025-03-16T00:00:00"/>
    <d v="2025-03-20T00:00:00"/>
    <s v="F"/>
    <x v="2"/>
    <n v="3"/>
    <x v="0"/>
    <x v="3"/>
    <x v="5"/>
    <x v="11"/>
    <x v="2"/>
  </r>
  <r>
    <s v="TX502048"/>
    <x v="0"/>
    <x v="12"/>
    <n v="33.700000000000003"/>
    <n v="134.80000000000001"/>
    <d v="2025-03-17T00:00:00"/>
    <d v="2025-03-18T00:00:00"/>
    <s v="M"/>
    <x v="0"/>
    <n v="4"/>
    <x v="0"/>
    <x v="3"/>
    <x v="3"/>
    <x v="11"/>
    <x v="1"/>
  </r>
  <r>
    <s v="TX502049"/>
    <x v="4"/>
    <x v="7"/>
    <n v="36.299999999999997"/>
    <n v="363"/>
    <d v="2025-03-17T00:00:00"/>
    <d v="2025-03-19T00:00:00"/>
    <s v="F"/>
    <x v="4"/>
    <n v="3"/>
    <x v="0"/>
    <x v="3"/>
    <x v="1"/>
    <x v="11"/>
    <x v="2"/>
  </r>
  <r>
    <s v="TX502050"/>
    <x v="8"/>
    <x v="0"/>
    <n v="23.4"/>
    <n v="23.4"/>
    <d v="2025-03-17T00:00:00"/>
    <d v="2025-03-22T00:00:00"/>
    <s v="F"/>
    <x v="1"/>
    <n v="5"/>
    <x v="0"/>
    <x v="3"/>
    <x v="0"/>
    <x v="11"/>
    <x v="2"/>
  </r>
  <r>
    <s v="TX502051"/>
    <x v="15"/>
    <x v="8"/>
    <n v="56.6"/>
    <n v="452.8"/>
    <d v="2025-03-17T00:00:00"/>
    <d v="2025-03-19T00:00:00"/>
    <s v="F"/>
    <x v="1"/>
    <n v="4"/>
    <x v="0"/>
    <x v="3"/>
    <x v="1"/>
    <x v="11"/>
    <x v="2"/>
  </r>
  <r>
    <s v="TX502052"/>
    <x v="15"/>
    <x v="1"/>
    <n v="26.8"/>
    <n v="53.6"/>
    <d v="2025-03-17T00:00:00"/>
    <d v="2025-03-18T00:00:00"/>
    <s v="M"/>
    <x v="0"/>
    <n v="4"/>
    <x v="0"/>
    <x v="4"/>
    <x v="3"/>
    <x v="11"/>
    <x v="1"/>
  </r>
  <r>
    <s v="TX502053"/>
    <x v="0"/>
    <x v="2"/>
    <n v="11.3"/>
    <n v="33.900000000000006"/>
    <d v="2025-03-17T00:00:00"/>
    <d v="2025-03-19T00:00:00"/>
    <s v="M"/>
    <x v="2"/>
    <n v="4"/>
    <x v="0"/>
    <x v="25"/>
    <x v="1"/>
    <x v="11"/>
    <x v="1"/>
  </r>
  <r>
    <s v="TX502054"/>
    <x v="6"/>
    <x v="2"/>
    <n v="60.1"/>
    <n v="180.3"/>
    <d v="2025-03-17T00:00:00"/>
    <d v="2025-03-20T00:00:00"/>
    <s v="F"/>
    <x v="0"/>
    <n v="4"/>
    <x v="0"/>
    <x v="7"/>
    <x v="2"/>
    <x v="11"/>
    <x v="2"/>
  </r>
  <r>
    <s v="TX502055"/>
    <x v="0"/>
    <x v="5"/>
    <n v="27.7"/>
    <n v="304.7"/>
    <d v="2025-03-17T00:00:00"/>
    <d v="2025-03-22T00:00:00"/>
    <s v="F"/>
    <x v="0"/>
    <n v="4"/>
    <x v="0"/>
    <x v="8"/>
    <x v="0"/>
    <x v="11"/>
    <x v="2"/>
  </r>
  <r>
    <s v="TX502056"/>
    <x v="15"/>
    <x v="0"/>
    <n v="71.400000000000006"/>
    <n v="71.400000000000006"/>
    <d v="2025-03-17T00:00:00"/>
    <d v="2025-03-20T00:00:00"/>
    <s v="M"/>
    <x v="0"/>
    <n v="5"/>
    <x v="0"/>
    <x v="8"/>
    <x v="2"/>
    <x v="11"/>
    <x v="1"/>
  </r>
  <r>
    <s v="TX502057"/>
    <x v="2"/>
    <x v="1"/>
    <n v="66.7"/>
    <n v="133.4"/>
    <d v="2025-03-17T00:00:00"/>
    <d v="2025-03-18T00:00:00"/>
    <s v="F"/>
    <x v="0"/>
    <n v="5"/>
    <x v="0"/>
    <x v="8"/>
    <x v="3"/>
    <x v="11"/>
    <x v="2"/>
  </r>
  <r>
    <s v="TX502058"/>
    <x v="13"/>
    <x v="9"/>
    <n v="39.1"/>
    <n v="195.5"/>
    <d v="2025-03-17T00:00:00"/>
    <d v="2025-03-18T00:00:00"/>
    <s v="F"/>
    <x v="0"/>
    <n v="4"/>
    <x v="0"/>
    <x v="8"/>
    <x v="3"/>
    <x v="11"/>
    <x v="2"/>
  </r>
  <r>
    <s v="TX502059"/>
    <x v="8"/>
    <x v="12"/>
    <n v="24.9"/>
    <n v="99.6"/>
    <d v="2025-03-17T00:00:00"/>
    <d v="2025-03-22T00:00:00"/>
    <s v="M"/>
    <x v="1"/>
    <n v="5"/>
    <x v="0"/>
    <x v="8"/>
    <x v="0"/>
    <x v="11"/>
    <x v="1"/>
  </r>
  <r>
    <s v="TX502060"/>
    <x v="5"/>
    <x v="9"/>
    <n v="29.2"/>
    <n v="146"/>
    <d v="2025-03-17T00:00:00"/>
    <d v="2025-03-18T00:00:00"/>
    <s v="M"/>
    <x v="0"/>
    <n v="5"/>
    <x v="0"/>
    <x v="17"/>
    <x v="3"/>
    <x v="11"/>
    <x v="1"/>
  </r>
  <r>
    <s v="TX502061"/>
    <x v="13"/>
    <x v="21"/>
    <n v="28.3"/>
    <n v="396.2"/>
    <d v="2025-03-17T00:00:00"/>
    <d v="2025-03-19T00:00:00"/>
    <s v="F"/>
    <x v="1"/>
    <n v="4"/>
    <x v="0"/>
    <x v="11"/>
    <x v="1"/>
    <x v="11"/>
    <x v="2"/>
  </r>
  <r>
    <s v="TX502062"/>
    <x v="9"/>
    <x v="2"/>
    <n v="37.799999999999997"/>
    <n v="113.39999999999999"/>
    <d v="2025-03-17T00:00:00"/>
    <d v="2025-03-18T00:00:00"/>
    <s v="F"/>
    <x v="0"/>
    <n v="3"/>
    <x v="0"/>
    <x v="11"/>
    <x v="3"/>
    <x v="11"/>
    <x v="2"/>
  </r>
  <r>
    <s v="TX502063"/>
    <x v="14"/>
    <x v="3"/>
    <n v="28.1"/>
    <n v="196.70000000000002"/>
    <d v="2025-03-17T00:00:00"/>
    <d v="2025-03-23T00:00:00"/>
    <s v="F"/>
    <x v="2"/>
    <n v="4"/>
    <x v="0"/>
    <x v="11"/>
    <x v="4"/>
    <x v="11"/>
    <x v="2"/>
  </r>
  <r>
    <s v="TX502064"/>
    <x v="1"/>
    <x v="2"/>
    <n v="59.7"/>
    <n v="179.10000000000002"/>
    <d v="2025-03-17T00:00:00"/>
    <d v="2025-03-19T00:00:00"/>
    <s v="F"/>
    <x v="2"/>
    <n v="4"/>
    <x v="0"/>
    <x v="11"/>
    <x v="1"/>
    <x v="11"/>
    <x v="2"/>
  </r>
  <r>
    <s v="TX502065"/>
    <x v="16"/>
    <x v="0"/>
    <n v="71.900000000000006"/>
    <n v="71.900000000000006"/>
    <d v="2025-03-17T00:00:00"/>
    <d v="2025-03-18T00:00:00"/>
    <s v="M"/>
    <x v="1"/>
    <n v="3"/>
    <x v="0"/>
    <x v="11"/>
    <x v="3"/>
    <x v="11"/>
    <x v="1"/>
  </r>
  <r>
    <s v="TX502066"/>
    <x v="1"/>
    <x v="1"/>
    <n v="56.9"/>
    <n v="113.8"/>
    <d v="2025-03-17T00:00:00"/>
    <d v="2025-03-18T00:00:00"/>
    <s v="M"/>
    <x v="2"/>
    <n v="4"/>
    <x v="0"/>
    <x v="13"/>
    <x v="3"/>
    <x v="11"/>
    <x v="1"/>
  </r>
  <r>
    <s v="TX502067"/>
    <x v="8"/>
    <x v="1"/>
    <n v="15.8"/>
    <n v="31.6"/>
    <d v="2025-03-17T00:00:00"/>
    <d v="2025-03-20T00:00:00"/>
    <s v="F"/>
    <x v="2"/>
    <n v="3"/>
    <x v="0"/>
    <x v="1"/>
    <x v="2"/>
    <x v="11"/>
    <x v="2"/>
  </r>
  <r>
    <s v="TX502068"/>
    <x v="11"/>
    <x v="12"/>
    <n v="61.7"/>
    <n v="246.8"/>
    <d v="2025-03-17T00:00:00"/>
    <d v="2025-03-19T00:00:00"/>
    <s v="F"/>
    <x v="2"/>
    <n v="4"/>
    <x v="0"/>
    <x v="22"/>
    <x v="1"/>
    <x v="11"/>
    <x v="2"/>
  </r>
  <r>
    <s v="TX502069"/>
    <x v="2"/>
    <x v="7"/>
    <n v="105.2"/>
    <n v="1052"/>
    <d v="2025-03-17T00:00:00"/>
    <d v="2025-03-19T00:00:00"/>
    <s v="M"/>
    <x v="1"/>
    <n v="2"/>
    <x v="0"/>
    <x v="3"/>
    <x v="1"/>
    <x v="11"/>
    <x v="1"/>
  </r>
  <r>
    <s v="TX502070"/>
    <x v="0"/>
    <x v="1"/>
    <n v="17"/>
    <n v="34"/>
    <d v="2025-03-17T00:00:00"/>
    <d v="2025-03-19T00:00:00"/>
    <s v="F"/>
    <x v="2"/>
    <n v="4"/>
    <x v="0"/>
    <x v="3"/>
    <x v="1"/>
    <x v="11"/>
    <x v="2"/>
  </r>
  <r>
    <s v="TX502071"/>
    <x v="6"/>
    <x v="2"/>
    <n v="84.1"/>
    <n v="252.29999999999998"/>
    <d v="2025-03-17T00:00:00"/>
    <d v="2025-03-18T00:00:00"/>
    <s v="M"/>
    <x v="2"/>
    <n v="4"/>
    <x v="0"/>
    <x v="3"/>
    <x v="3"/>
    <x v="11"/>
    <x v="1"/>
  </r>
  <r>
    <s v="TX502072"/>
    <x v="3"/>
    <x v="12"/>
    <n v="59.5"/>
    <n v="238"/>
    <d v="2025-03-17T00:00:00"/>
    <d v="2025-03-22T00:00:00"/>
    <s v="M"/>
    <x v="0"/>
    <n v="5"/>
    <x v="0"/>
    <x v="3"/>
    <x v="0"/>
    <x v="11"/>
    <x v="1"/>
  </r>
  <r>
    <s v="TX502073"/>
    <x v="8"/>
    <x v="1"/>
    <n v="57.5"/>
    <n v="115"/>
    <d v="2025-03-17T00:00:00"/>
    <d v="2025-03-19T00:00:00"/>
    <s v="M"/>
    <x v="1"/>
    <n v="5"/>
    <x v="0"/>
    <x v="3"/>
    <x v="1"/>
    <x v="11"/>
    <x v="1"/>
  </r>
  <r>
    <s v="TX502074"/>
    <x v="8"/>
    <x v="0"/>
    <n v="34.299999999999997"/>
    <n v="34.299999999999997"/>
    <d v="2025-03-17T00:00:00"/>
    <d v="2025-03-18T00:00:00"/>
    <s v="F"/>
    <x v="4"/>
    <n v="5"/>
    <x v="0"/>
    <x v="3"/>
    <x v="3"/>
    <x v="11"/>
    <x v="2"/>
  </r>
  <r>
    <s v="TX502075"/>
    <x v="5"/>
    <x v="1"/>
    <n v="27.8"/>
    <n v="55.6"/>
    <d v="2025-03-18T00:00:00"/>
    <d v="2025-03-20T00:00:00"/>
    <s v="F"/>
    <x v="0"/>
    <n v="4"/>
    <x v="0"/>
    <x v="3"/>
    <x v="1"/>
    <x v="11"/>
    <x v="2"/>
  </r>
  <r>
    <s v="TX502076"/>
    <x v="12"/>
    <x v="1"/>
    <n v="85"/>
    <n v="170"/>
    <d v="2025-03-18T00:00:00"/>
    <d v="2025-03-18T00:00:00"/>
    <s v="M"/>
    <x v="2"/>
    <n v="5"/>
    <x v="0"/>
    <x v="3"/>
    <x v="7"/>
    <x v="11"/>
    <x v="1"/>
  </r>
  <r>
    <s v="TX502077"/>
    <x v="6"/>
    <x v="1"/>
    <n v="95"/>
    <n v="190"/>
    <d v="2025-03-18T00:00:00"/>
    <d v="2025-03-20T00:00:00"/>
    <s v="F"/>
    <x v="0"/>
    <n v="4"/>
    <x v="0"/>
    <x v="3"/>
    <x v="1"/>
    <x v="11"/>
    <x v="2"/>
  </r>
  <r>
    <s v="TX502078"/>
    <x v="16"/>
    <x v="1"/>
    <n v="32"/>
    <n v="64"/>
    <d v="2025-03-18T00:00:00"/>
    <d v="2025-03-20T00:00:00"/>
    <s v="M"/>
    <x v="0"/>
    <n v="3"/>
    <x v="0"/>
    <x v="3"/>
    <x v="1"/>
    <x v="11"/>
    <x v="1"/>
  </r>
  <r>
    <s v="TX502079"/>
    <x v="2"/>
    <x v="1"/>
    <n v="65.2"/>
    <n v="130.4"/>
    <d v="2025-03-18T00:00:00"/>
    <d v="2025-03-19T00:00:00"/>
    <s v="F"/>
    <x v="1"/>
    <n v="4"/>
    <x v="0"/>
    <x v="3"/>
    <x v="3"/>
    <x v="11"/>
    <x v="2"/>
  </r>
  <r>
    <s v="TX502080"/>
    <x v="17"/>
    <x v="12"/>
    <n v="22"/>
    <n v="88"/>
    <d v="2025-03-18T00:00:00"/>
    <d v="2025-03-19T00:00:00"/>
    <s v="M"/>
    <x v="1"/>
    <n v="5"/>
    <x v="0"/>
    <x v="3"/>
    <x v="3"/>
    <x v="11"/>
    <x v="1"/>
  </r>
  <r>
    <s v="TX502081"/>
    <x v="15"/>
    <x v="2"/>
    <n v="69.400000000000006"/>
    <n v="208.20000000000002"/>
    <d v="2025-03-18T00:00:00"/>
    <d v="2025-03-21T00:00:00"/>
    <s v="M"/>
    <x v="1"/>
    <n v="5"/>
    <x v="0"/>
    <x v="3"/>
    <x v="2"/>
    <x v="11"/>
    <x v="1"/>
  </r>
  <r>
    <s v="TX502082"/>
    <x v="10"/>
    <x v="13"/>
    <n v="31.5"/>
    <n v="189"/>
    <d v="2025-03-18T00:00:00"/>
    <d v="2025-03-20T00:00:00"/>
    <s v="F"/>
    <x v="0"/>
    <n v="5"/>
    <x v="0"/>
    <x v="3"/>
    <x v="1"/>
    <x v="11"/>
    <x v="2"/>
  </r>
  <r>
    <s v="TX502083"/>
    <x v="6"/>
    <x v="0"/>
    <n v="45.8"/>
    <n v="45.8"/>
    <d v="2025-03-18T00:00:00"/>
    <d v="2025-03-22T00:00:00"/>
    <s v="O"/>
    <x v="0"/>
    <n v="4"/>
    <x v="0"/>
    <x v="3"/>
    <x v="5"/>
    <x v="11"/>
    <x v="3"/>
  </r>
  <r>
    <s v="TX502084"/>
    <x v="19"/>
    <x v="12"/>
    <n v="12.8"/>
    <n v="51.2"/>
    <d v="2025-03-18T00:00:00"/>
    <d v="2025-03-25T00:00:00"/>
    <s v="F"/>
    <x v="1"/>
    <n v="3"/>
    <x v="0"/>
    <x v="5"/>
    <x v="6"/>
    <x v="11"/>
    <x v="2"/>
  </r>
  <r>
    <s v="TX502085"/>
    <x v="5"/>
    <x v="2"/>
    <n v="115.3"/>
    <n v="345.9"/>
    <d v="2025-03-18T00:00:00"/>
    <d v="2025-03-19T00:00:00"/>
    <s v="F"/>
    <x v="2"/>
    <n v="5"/>
    <x v="0"/>
    <x v="6"/>
    <x v="3"/>
    <x v="11"/>
    <x v="2"/>
  </r>
  <r>
    <s v="TX502086"/>
    <x v="5"/>
    <x v="1"/>
    <n v="85"/>
    <n v="170"/>
    <d v="2025-03-18T00:00:00"/>
    <d v="2025-03-20T00:00:00"/>
    <s v="F"/>
    <x v="1"/>
    <n v="4"/>
    <x v="0"/>
    <x v="7"/>
    <x v="1"/>
    <x v="11"/>
    <x v="2"/>
  </r>
  <r>
    <s v="TX502087"/>
    <x v="8"/>
    <x v="2"/>
    <n v="56.6"/>
    <n v="169.8"/>
    <d v="2025-03-18T00:00:00"/>
    <d v="2025-03-19T00:00:00"/>
    <s v="F"/>
    <x v="1"/>
    <n v="5"/>
    <x v="0"/>
    <x v="7"/>
    <x v="3"/>
    <x v="11"/>
    <x v="2"/>
  </r>
  <r>
    <s v="TX502088"/>
    <x v="15"/>
    <x v="6"/>
    <n v="46.3"/>
    <n v="1250.0999999999999"/>
    <d v="2025-03-18T00:00:00"/>
    <d v="2025-03-21T00:00:00"/>
    <s v="M"/>
    <x v="0"/>
    <n v="4"/>
    <x v="0"/>
    <x v="7"/>
    <x v="2"/>
    <x v="11"/>
    <x v="1"/>
  </r>
  <r>
    <s v="TX502089"/>
    <x v="14"/>
    <x v="12"/>
    <n v="23"/>
    <n v="92"/>
    <d v="2025-03-18T00:00:00"/>
    <d v="2025-03-22T00:00:00"/>
    <s v="M"/>
    <x v="3"/>
    <n v="5"/>
    <x v="0"/>
    <x v="7"/>
    <x v="5"/>
    <x v="11"/>
    <x v="1"/>
  </r>
  <r>
    <s v="TX502090"/>
    <x v="8"/>
    <x v="13"/>
    <n v="42.1"/>
    <n v="252.60000000000002"/>
    <d v="2025-03-18T00:00:00"/>
    <d v="2025-03-20T00:00:00"/>
    <s v="M"/>
    <x v="4"/>
    <n v="4"/>
    <x v="0"/>
    <x v="8"/>
    <x v="1"/>
    <x v="11"/>
    <x v="1"/>
  </r>
  <r>
    <s v="TX502091"/>
    <x v="5"/>
    <x v="3"/>
    <n v="57.4"/>
    <n v="401.8"/>
    <d v="2025-03-18T00:00:00"/>
    <d v="2025-03-22T00:00:00"/>
    <s v="F"/>
    <x v="1"/>
    <n v="2"/>
    <x v="0"/>
    <x v="8"/>
    <x v="5"/>
    <x v="11"/>
    <x v="2"/>
  </r>
  <r>
    <s v="TX502092"/>
    <x v="0"/>
    <x v="13"/>
    <n v="13.2"/>
    <n v="79.199999999999989"/>
    <d v="2025-03-18T00:00:00"/>
    <d v="2025-03-22T00:00:00"/>
    <s v="M"/>
    <x v="2"/>
    <n v="4"/>
    <x v="0"/>
    <x v="8"/>
    <x v="5"/>
    <x v="11"/>
    <x v="1"/>
  </r>
  <r>
    <s v="TX502093"/>
    <x v="6"/>
    <x v="2"/>
    <n v="52.3"/>
    <n v="156.89999999999998"/>
    <d v="2025-03-18T00:00:00"/>
    <d v="2025-03-19T00:00:00"/>
    <s v="M"/>
    <x v="1"/>
    <n v="4"/>
    <x v="0"/>
    <x v="8"/>
    <x v="3"/>
    <x v="11"/>
    <x v="1"/>
  </r>
  <r>
    <s v="TX502094"/>
    <x v="8"/>
    <x v="1"/>
    <n v="15.7"/>
    <n v="31.4"/>
    <d v="2025-03-18T00:00:00"/>
    <d v="2025-03-21T00:00:00"/>
    <s v="M"/>
    <x v="1"/>
    <n v="5"/>
    <x v="0"/>
    <x v="8"/>
    <x v="2"/>
    <x v="11"/>
    <x v="1"/>
  </r>
  <r>
    <s v="TX502095"/>
    <x v="7"/>
    <x v="2"/>
    <n v="35"/>
    <n v="105"/>
    <d v="2025-03-18T00:00:00"/>
    <d v="2025-03-21T00:00:00"/>
    <s v="F"/>
    <x v="1"/>
    <n v="5"/>
    <x v="0"/>
    <x v="9"/>
    <x v="2"/>
    <x v="11"/>
    <x v="2"/>
  </r>
  <r>
    <s v="TX502096"/>
    <x v="4"/>
    <x v="2"/>
    <n v="26.6"/>
    <n v="79.800000000000011"/>
    <d v="2025-03-18T00:00:00"/>
    <d v="2025-03-18T00:00:00"/>
    <s v="M"/>
    <x v="1"/>
    <n v="5"/>
    <x v="0"/>
    <x v="11"/>
    <x v="7"/>
    <x v="11"/>
    <x v="1"/>
  </r>
  <r>
    <s v="TX502097"/>
    <x v="4"/>
    <x v="8"/>
    <n v="47.9"/>
    <n v="383.2"/>
    <d v="2025-03-19T00:00:00"/>
    <d v="2025-03-20T00:00:00"/>
    <s v="F"/>
    <x v="3"/>
    <n v="5"/>
    <x v="0"/>
    <x v="20"/>
    <x v="3"/>
    <x v="11"/>
    <x v="2"/>
  </r>
  <r>
    <s v="TX502098"/>
    <x v="5"/>
    <x v="0"/>
    <n v="80.099999999999994"/>
    <n v="80.099999999999994"/>
    <d v="2025-03-19T00:00:00"/>
    <d v="2025-03-20T00:00:00"/>
    <s v="M"/>
    <x v="2"/>
    <n v="4"/>
    <x v="0"/>
    <x v="21"/>
    <x v="3"/>
    <x v="11"/>
    <x v="1"/>
  </r>
  <r>
    <s v="TX502099"/>
    <x v="6"/>
    <x v="9"/>
    <n v="50.4"/>
    <n v="252"/>
    <d v="2025-03-19T00:00:00"/>
    <d v="2025-03-20T00:00:00"/>
    <s v="M"/>
    <x v="1"/>
    <n v="5"/>
    <x v="0"/>
    <x v="21"/>
    <x v="3"/>
    <x v="11"/>
    <x v="1"/>
  </r>
  <r>
    <s v="TX502100"/>
    <x v="10"/>
    <x v="3"/>
    <n v="43.3"/>
    <n v="303.09999999999997"/>
    <d v="2025-03-19T00:00:00"/>
    <d v="2025-03-20T00:00:00"/>
    <s v="M"/>
    <x v="2"/>
    <n v="4"/>
    <x v="0"/>
    <x v="21"/>
    <x v="3"/>
    <x v="11"/>
    <x v="1"/>
  </r>
  <r>
    <s v="TX502101"/>
    <x v="10"/>
    <x v="12"/>
    <n v="57.5"/>
    <n v="230"/>
    <d v="2025-03-19T00:00:00"/>
    <d v="2025-03-20T00:00:00"/>
    <s v="F"/>
    <x v="1"/>
    <n v="5"/>
    <x v="0"/>
    <x v="1"/>
    <x v="3"/>
    <x v="11"/>
    <x v="2"/>
  </r>
  <r>
    <s v="TX502102"/>
    <x v="9"/>
    <x v="15"/>
    <n v="24.8"/>
    <n v="322.40000000000003"/>
    <d v="2025-03-19T00:00:00"/>
    <d v="2025-03-20T00:00:00"/>
    <s v="M"/>
    <x v="0"/>
    <n v="4"/>
    <x v="0"/>
    <x v="57"/>
    <x v="3"/>
    <x v="11"/>
    <x v="1"/>
  </r>
  <r>
    <s v="TX502103"/>
    <x v="2"/>
    <x v="11"/>
    <n v="85.7"/>
    <n v="771.30000000000007"/>
    <d v="2025-03-19T00:00:00"/>
    <d v="2025-03-20T00:00:00"/>
    <s v="F"/>
    <x v="0"/>
    <n v="4"/>
    <x v="0"/>
    <x v="42"/>
    <x v="3"/>
    <x v="11"/>
    <x v="2"/>
  </r>
  <r>
    <s v="TX502104"/>
    <x v="7"/>
    <x v="0"/>
    <n v="47.1"/>
    <n v="47.1"/>
    <d v="2025-03-19T00:00:00"/>
    <d v="2025-03-21T00:00:00"/>
    <s v="F"/>
    <x v="0"/>
    <n v="4"/>
    <x v="0"/>
    <x v="2"/>
    <x v="1"/>
    <x v="11"/>
    <x v="2"/>
  </r>
  <r>
    <s v="TX502105"/>
    <x v="5"/>
    <x v="7"/>
    <n v="83.2"/>
    <n v="832"/>
    <d v="2025-03-19T00:00:00"/>
    <d v="2025-03-23T00:00:00"/>
    <s v="F"/>
    <x v="0"/>
    <n v="4"/>
    <x v="0"/>
    <x v="33"/>
    <x v="5"/>
    <x v="11"/>
    <x v="2"/>
  </r>
  <r>
    <s v="TX502106"/>
    <x v="2"/>
    <x v="2"/>
    <n v="157"/>
    <n v="471"/>
    <d v="2025-03-19T00:00:00"/>
    <d v="2025-03-21T00:00:00"/>
    <s v="F"/>
    <x v="0"/>
    <n v="5"/>
    <x v="0"/>
    <x v="22"/>
    <x v="1"/>
    <x v="11"/>
    <x v="2"/>
  </r>
  <r>
    <s v="TX502107"/>
    <x v="16"/>
    <x v="12"/>
    <n v="33.700000000000003"/>
    <n v="134.80000000000001"/>
    <d v="2025-03-19T00:00:00"/>
    <d v="2025-03-20T00:00:00"/>
    <s v="M"/>
    <x v="2"/>
    <n v="5"/>
    <x v="0"/>
    <x v="22"/>
    <x v="3"/>
    <x v="11"/>
    <x v="1"/>
  </r>
  <r>
    <s v="TX502108"/>
    <x v="2"/>
    <x v="2"/>
    <n v="60.8"/>
    <n v="182.39999999999998"/>
    <d v="2025-03-19T00:00:00"/>
    <d v="2025-03-23T00:00:00"/>
    <s v="F"/>
    <x v="1"/>
    <n v="3"/>
    <x v="0"/>
    <x v="3"/>
    <x v="5"/>
    <x v="11"/>
    <x v="2"/>
  </r>
  <r>
    <s v="TX502109"/>
    <x v="7"/>
    <x v="0"/>
    <n v="57.6"/>
    <n v="57.6"/>
    <d v="2025-03-19T00:00:00"/>
    <d v="2025-03-20T00:00:00"/>
    <s v="M"/>
    <x v="1"/>
    <n v="2"/>
    <x v="0"/>
    <x v="3"/>
    <x v="3"/>
    <x v="11"/>
    <x v="1"/>
  </r>
  <r>
    <s v="TX502110"/>
    <x v="10"/>
    <x v="0"/>
    <n v="32"/>
    <n v="32"/>
    <d v="2025-03-19T00:00:00"/>
    <d v="2025-03-21T00:00:00"/>
    <s v="M"/>
    <x v="0"/>
    <n v="4"/>
    <x v="0"/>
    <x v="3"/>
    <x v="1"/>
    <x v="11"/>
    <x v="1"/>
  </r>
  <r>
    <s v="TX502111"/>
    <x v="10"/>
    <x v="12"/>
    <n v="23.5"/>
    <n v="94"/>
    <d v="2025-03-19T00:00:00"/>
    <d v="2025-03-20T00:00:00"/>
    <s v="F"/>
    <x v="0"/>
    <n v="5"/>
    <x v="0"/>
    <x v="3"/>
    <x v="3"/>
    <x v="11"/>
    <x v="2"/>
  </r>
  <r>
    <s v="TX502112"/>
    <x v="12"/>
    <x v="2"/>
    <n v="44.8"/>
    <n v="134.39999999999998"/>
    <d v="2025-03-19T00:00:00"/>
    <d v="2025-03-20T00:00:00"/>
    <s v="O"/>
    <x v="4"/>
    <n v="4"/>
    <x v="0"/>
    <x v="3"/>
    <x v="3"/>
    <x v="11"/>
    <x v="3"/>
  </r>
  <r>
    <s v="TX502113"/>
    <x v="0"/>
    <x v="8"/>
    <n v="11.7"/>
    <n v="93.6"/>
    <d v="2025-03-19T00:00:00"/>
    <d v="2025-03-20T00:00:00"/>
    <s v="M"/>
    <x v="2"/>
    <n v="5"/>
    <x v="0"/>
    <x v="3"/>
    <x v="3"/>
    <x v="11"/>
    <x v="1"/>
  </r>
  <r>
    <s v="TX502114"/>
    <x v="7"/>
    <x v="1"/>
    <n v="38.799999999999997"/>
    <n v="77.599999999999994"/>
    <d v="2025-03-19T00:00:00"/>
    <d v="2025-03-22T00:00:00"/>
    <s v="F"/>
    <x v="2"/>
    <n v="4"/>
    <x v="0"/>
    <x v="3"/>
    <x v="2"/>
    <x v="11"/>
    <x v="2"/>
  </r>
  <r>
    <s v="TX502115"/>
    <x v="5"/>
    <x v="21"/>
    <n v="86.9"/>
    <n v="1216.6000000000001"/>
    <d v="2025-03-19T00:00:00"/>
    <d v="2025-03-24T00:00:00"/>
    <s v="F"/>
    <x v="1"/>
    <n v="4"/>
    <x v="0"/>
    <x v="3"/>
    <x v="0"/>
    <x v="11"/>
    <x v="2"/>
  </r>
  <r>
    <s v="TX502116"/>
    <x v="8"/>
    <x v="0"/>
    <n v="18.3"/>
    <n v="18.3"/>
    <d v="2025-03-19T00:00:00"/>
    <d v="2025-03-20T00:00:00"/>
    <s v="F"/>
    <x v="0"/>
    <n v="4"/>
    <x v="0"/>
    <x v="3"/>
    <x v="3"/>
    <x v="11"/>
    <x v="2"/>
  </r>
  <r>
    <s v="TX502117"/>
    <x v="5"/>
    <x v="0"/>
    <n v="47.5"/>
    <n v="47.5"/>
    <d v="2025-03-19T00:00:00"/>
    <d v="2025-03-23T00:00:00"/>
    <s v="M"/>
    <x v="4"/>
    <n v="5"/>
    <x v="0"/>
    <x v="3"/>
    <x v="5"/>
    <x v="11"/>
    <x v="1"/>
  </r>
  <r>
    <s v="TX502118"/>
    <x v="1"/>
    <x v="1"/>
    <n v="78.599999999999994"/>
    <n v="157.19999999999999"/>
    <d v="2025-03-19T00:00:00"/>
    <d v="2025-03-20T00:00:00"/>
    <s v="M"/>
    <x v="2"/>
    <n v="5"/>
    <x v="0"/>
    <x v="3"/>
    <x v="3"/>
    <x v="11"/>
    <x v="1"/>
  </r>
  <r>
    <s v="TX502119"/>
    <x v="6"/>
    <x v="12"/>
    <n v="87.3"/>
    <n v="349.2"/>
    <d v="2025-03-19T00:00:00"/>
    <d v="2025-03-20T00:00:00"/>
    <s v="M"/>
    <x v="0"/>
    <n v="4"/>
    <x v="0"/>
    <x v="3"/>
    <x v="3"/>
    <x v="11"/>
    <x v="1"/>
  </r>
  <r>
    <s v="TX502120"/>
    <x v="9"/>
    <x v="1"/>
    <n v="63.2"/>
    <n v="126.4"/>
    <d v="2025-03-19T00:00:00"/>
    <d v="2025-03-19T00:00:00"/>
    <s v="M"/>
    <x v="4"/>
    <n v="3"/>
    <x v="0"/>
    <x v="3"/>
    <x v="7"/>
    <x v="11"/>
    <x v="1"/>
  </r>
  <r>
    <s v="TX502121"/>
    <x v="5"/>
    <x v="9"/>
    <n v="33.700000000000003"/>
    <n v="168.5"/>
    <d v="2025-03-19T00:00:00"/>
    <d v="2025-03-20T00:00:00"/>
    <s v="F"/>
    <x v="0"/>
    <n v="4"/>
    <x v="0"/>
    <x v="3"/>
    <x v="3"/>
    <x v="11"/>
    <x v="2"/>
  </r>
  <r>
    <s v="TX502122"/>
    <x v="2"/>
    <x v="2"/>
    <n v="107.4"/>
    <n v="322.20000000000005"/>
    <d v="2025-03-19T00:00:00"/>
    <d v="2025-04-01T00:00:00"/>
    <s v="F"/>
    <x v="1"/>
    <n v="5"/>
    <x v="0"/>
    <x v="3"/>
    <x v="10"/>
    <x v="11"/>
    <x v="2"/>
  </r>
  <r>
    <s v="TX502123"/>
    <x v="4"/>
    <x v="12"/>
    <n v="22.2"/>
    <n v="88.8"/>
    <d v="2025-03-19T00:00:00"/>
    <d v="2025-03-20T00:00:00"/>
    <s v=""/>
    <x v="1"/>
    <n v="5"/>
    <x v="0"/>
    <x v="24"/>
    <x v="3"/>
    <x v="11"/>
    <x v="0"/>
  </r>
  <r>
    <s v="TX502124"/>
    <x v="18"/>
    <x v="2"/>
    <n v="52.8"/>
    <n v="158.39999999999998"/>
    <d v="2025-03-19T00:00:00"/>
    <d v="2025-03-20T00:00:00"/>
    <s v="M"/>
    <x v="3"/>
    <n v="5"/>
    <x v="0"/>
    <x v="24"/>
    <x v="3"/>
    <x v="11"/>
    <x v="1"/>
  </r>
  <r>
    <s v="TX502125"/>
    <x v="8"/>
    <x v="2"/>
    <n v="41.5"/>
    <n v="124.5"/>
    <d v="2025-03-19T00:00:00"/>
    <d v="2025-03-22T00:00:00"/>
    <s v="F"/>
    <x v="0"/>
    <n v="4"/>
    <x v="0"/>
    <x v="25"/>
    <x v="2"/>
    <x v="11"/>
    <x v="2"/>
  </r>
  <r>
    <s v="TX502126"/>
    <x v="12"/>
    <x v="8"/>
    <n v="103.5"/>
    <n v="828"/>
    <d v="2025-03-19T00:00:00"/>
    <d v="2025-03-22T00:00:00"/>
    <s v="F"/>
    <x v="0"/>
    <n v="5"/>
    <x v="0"/>
    <x v="23"/>
    <x v="2"/>
    <x v="11"/>
    <x v="2"/>
  </r>
  <r>
    <s v="TX502127"/>
    <x v="4"/>
    <x v="21"/>
    <n v="37.5"/>
    <n v="525"/>
    <d v="2025-03-19T00:00:00"/>
    <d v="2025-03-19T00:00:00"/>
    <s v="F"/>
    <x v="1"/>
    <n v="5"/>
    <x v="0"/>
    <x v="6"/>
    <x v="7"/>
    <x v="11"/>
    <x v="2"/>
  </r>
  <r>
    <s v="TX502128"/>
    <x v="15"/>
    <x v="8"/>
    <n v="44.4"/>
    <n v="355.2"/>
    <d v="2025-03-19T00:00:00"/>
    <d v="2025-03-25T00:00:00"/>
    <s v="F"/>
    <x v="3"/>
    <n v="5"/>
    <x v="0"/>
    <x v="7"/>
    <x v="4"/>
    <x v="11"/>
    <x v="2"/>
  </r>
  <r>
    <s v="TX502129"/>
    <x v="8"/>
    <x v="2"/>
    <n v="26.2"/>
    <n v="78.599999999999994"/>
    <d v="2025-03-19T00:00:00"/>
    <d v="2025-03-20T00:00:00"/>
    <s v="M"/>
    <x v="0"/>
    <n v="4"/>
    <x v="0"/>
    <x v="8"/>
    <x v="3"/>
    <x v="11"/>
    <x v="1"/>
  </r>
  <r>
    <s v="TX502130"/>
    <x v="1"/>
    <x v="3"/>
    <n v="32.200000000000003"/>
    <n v="225.40000000000003"/>
    <d v="2025-03-19T00:00:00"/>
    <d v="2025-03-20T00:00:00"/>
    <s v="F"/>
    <x v="1"/>
    <n v="5"/>
    <x v="0"/>
    <x v="8"/>
    <x v="3"/>
    <x v="11"/>
    <x v="2"/>
  </r>
  <r>
    <s v="TX502131"/>
    <x v="8"/>
    <x v="0"/>
    <n v="17.399999999999999"/>
    <n v="17.399999999999999"/>
    <d v="2025-03-19T00:00:00"/>
    <d v="2025-03-23T00:00:00"/>
    <s v=""/>
    <x v="2"/>
    <n v="3"/>
    <x v="0"/>
    <x v="8"/>
    <x v="5"/>
    <x v="11"/>
    <x v="0"/>
  </r>
  <r>
    <s v="TX502132"/>
    <x v="8"/>
    <x v="13"/>
    <n v="72.3"/>
    <n v="433.79999999999995"/>
    <d v="2025-03-19T00:00:00"/>
    <d v="2025-03-22T00:00:00"/>
    <s v="F"/>
    <x v="0"/>
    <n v="4"/>
    <x v="0"/>
    <x v="8"/>
    <x v="2"/>
    <x v="11"/>
    <x v="2"/>
  </r>
  <r>
    <s v="TX502133"/>
    <x v="8"/>
    <x v="5"/>
    <n v="24.3"/>
    <n v="267.3"/>
    <d v="2025-03-19T00:00:00"/>
    <d v="2025-03-20T00:00:00"/>
    <s v="M"/>
    <x v="0"/>
    <n v="4"/>
    <x v="0"/>
    <x v="8"/>
    <x v="3"/>
    <x v="11"/>
    <x v="1"/>
  </r>
  <r>
    <s v="TX502134"/>
    <x v="13"/>
    <x v="2"/>
    <n v="49.1"/>
    <n v="147.30000000000001"/>
    <d v="2025-03-19T00:00:00"/>
    <d v="2025-03-25T00:00:00"/>
    <s v="M"/>
    <x v="2"/>
    <n v="2"/>
    <x v="0"/>
    <x v="8"/>
    <x v="4"/>
    <x v="11"/>
    <x v="1"/>
  </r>
  <r>
    <s v="TX502135"/>
    <x v="2"/>
    <x v="7"/>
    <n v="234.7"/>
    <n v="2347"/>
    <d v="2025-03-19T00:00:00"/>
    <d v="2025-03-20T00:00:00"/>
    <s v="M"/>
    <x v="3"/>
    <n v="3"/>
    <x v="0"/>
    <x v="8"/>
    <x v="3"/>
    <x v="11"/>
    <x v="1"/>
  </r>
  <r>
    <s v="TX502136"/>
    <x v="3"/>
    <x v="9"/>
    <n v="76.099999999999994"/>
    <n v="380.5"/>
    <d v="2025-03-19T00:00:00"/>
    <d v="2025-03-21T00:00:00"/>
    <s v="M"/>
    <x v="1"/>
    <n v="3"/>
    <x v="0"/>
    <x v="17"/>
    <x v="1"/>
    <x v="11"/>
    <x v="1"/>
  </r>
  <r>
    <s v="TX502137"/>
    <x v="1"/>
    <x v="2"/>
    <n v="93.9"/>
    <n v="281.70000000000005"/>
    <d v="2025-03-19T00:00:00"/>
    <d v="2025-03-20T00:00:00"/>
    <s v="M"/>
    <x v="1"/>
    <n v="2"/>
    <x v="0"/>
    <x v="11"/>
    <x v="3"/>
    <x v="11"/>
    <x v="1"/>
  </r>
  <r>
    <s v="TX502138"/>
    <x v="2"/>
    <x v="12"/>
    <n v="187"/>
    <n v="748"/>
    <d v="2025-03-20T00:00:00"/>
    <d v="2025-03-23T00:00:00"/>
    <s v="M"/>
    <x v="0"/>
    <n v="4"/>
    <x v="0"/>
    <x v="11"/>
    <x v="2"/>
    <x v="11"/>
    <x v="1"/>
  </r>
  <r>
    <s v="TX502139"/>
    <x v="8"/>
    <x v="1"/>
    <n v="18"/>
    <n v="36"/>
    <d v="2025-03-20T00:00:00"/>
    <d v="2025-03-21T00:00:00"/>
    <s v="F"/>
    <x v="1"/>
    <n v="5"/>
    <x v="0"/>
    <x v="53"/>
    <x v="3"/>
    <x v="11"/>
    <x v="2"/>
  </r>
  <r>
    <s v="TX502140"/>
    <x v="4"/>
    <x v="0"/>
    <n v="24.4"/>
    <n v="24.4"/>
    <d v="2025-03-20T00:00:00"/>
    <d v="2025-03-21T00:00:00"/>
    <s v="F"/>
    <x v="4"/>
    <n v="5"/>
    <x v="0"/>
    <x v="21"/>
    <x v="3"/>
    <x v="11"/>
    <x v="2"/>
  </r>
  <r>
    <s v="TX502141"/>
    <x v="10"/>
    <x v="1"/>
    <n v="38.799999999999997"/>
    <n v="77.599999999999994"/>
    <d v="2025-03-20T00:00:00"/>
    <d v="2025-03-21T00:00:00"/>
    <s v="M"/>
    <x v="4"/>
    <n v="3"/>
    <x v="0"/>
    <x v="3"/>
    <x v="3"/>
    <x v="11"/>
    <x v="1"/>
  </r>
  <r>
    <s v="TX502142"/>
    <x v="3"/>
    <x v="0"/>
    <n v="59.7"/>
    <n v="59.7"/>
    <d v="2025-03-20T00:00:00"/>
    <d v="2025-03-23T00:00:00"/>
    <s v="M"/>
    <x v="3"/>
    <n v="4"/>
    <x v="0"/>
    <x v="3"/>
    <x v="2"/>
    <x v="11"/>
    <x v="1"/>
  </r>
  <r>
    <s v="TX502143"/>
    <x v="7"/>
    <x v="0"/>
    <n v="31.2"/>
    <n v="31.2"/>
    <d v="2025-03-20T00:00:00"/>
    <d v="2025-03-21T00:00:00"/>
    <s v="M"/>
    <x v="1"/>
    <n v="5"/>
    <x v="0"/>
    <x v="3"/>
    <x v="3"/>
    <x v="11"/>
    <x v="1"/>
  </r>
  <r>
    <s v="TX502144"/>
    <x v="0"/>
    <x v="0"/>
    <n v="16.8"/>
    <n v="16.8"/>
    <d v="2025-03-20T00:00:00"/>
    <d v="2025-03-21T00:00:00"/>
    <s v="F"/>
    <x v="2"/>
    <n v="3"/>
    <x v="0"/>
    <x v="3"/>
    <x v="3"/>
    <x v="11"/>
    <x v="2"/>
  </r>
  <r>
    <s v="TX502145"/>
    <x v="8"/>
    <x v="0"/>
    <n v="46"/>
    <n v="46"/>
    <d v="2025-03-20T00:00:00"/>
    <d v="2025-03-21T00:00:00"/>
    <s v="M"/>
    <x v="0"/>
    <n v="4"/>
    <x v="0"/>
    <x v="3"/>
    <x v="3"/>
    <x v="11"/>
    <x v="1"/>
  </r>
  <r>
    <s v="TX502146"/>
    <x v="9"/>
    <x v="8"/>
    <n v="42.2"/>
    <n v="337.6"/>
    <d v="2025-03-20T00:00:00"/>
    <d v="2025-03-23T00:00:00"/>
    <s v="F"/>
    <x v="3"/>
    <n v="5"/>
    <x v="0"/>
    <x v="3"/>
    <x v="2"/>
    <x v="11"/>
    <x v="2"/>
  </r>
  <r>
    <s v="TX502147"/>
    <x v="1"/>
    <x v="2"/>
    <n v="71.5"/>
    <n v="214.5"/>
    <d v="2025-03-20T00:00:00"/>
    <d v="2025-04-03T00:00:00"/>
    <s v="F"/>
    <x v="0"/>
    <n v="4"/>
    <x v="0"/>
    <x v="3"/>
    <x v="12"/>
    <x v="11"/>
    <x v="2"/>
  </r>
  <r>
    <s v="TX502148"/>
    <x v="1"/>
    <x v="1"/>
    <n v="76.599999999999994"/>
    <n v="153.19999999999999"/>
    <d v="2025-03-20T00:00:00"/>
    <d v="2025-03-20T00:00:00"/>
    <s v="M"/>
    <x v="0"/>
    <n v="5"/>
    <x v="0"/>
    <x v="3"/>
    <x v="7"/>
    <x v="11"/>
    <x v="1"/>
  </r>
  <r>
    <s v="TX502149"/>
    <x v="12"/>
    <x v="1"/>
    <n v="87.3"/>
    <n v="174.6"/>
    <d v="2025-03-20T00:00:00"/>
    <d v="2025-03-28T00:00:00"/>
    <s v="F"/>
    <x v="3"/>
    <n v="5"/>
    <x v="0"/>
    <x v="3"/>
    <x v="9"/>
    <x v="11"/>
    <x v="2"/>
  </r>
  <r>
    <s v="TX502150"/>
    <x v="1"/>
    <x v="0"/>
    <n v="63"/>
    <n v="63"/>
    <d v="2025-03-20T00:00:00"/>
    <d v="2025-03-23T00:00:00"/>
    <s v="M"/>
    <x v="3"/>
    <n v="4"/>
    <x v="0"/>
    <x v="3"/>
    <x v="2"/>
    <x v="11"/>
    <x v="1"/>
  </r>
  <r>
    <s v="TX502151"/>
    <x v="8"/>
    <x v="1"/>
    <n v="41.7"/>
    <n v="83.4"/>
    <d v="2025-03-20T00:00:00"/>
    <d v="2025-03-21T00:00:00"/>
    <s v="F"/>
    <x v="4"/>
    <n v="3"/>
    <x v="0"/>
    <x v="43"/>
    <x v="3"/>
    <x v="11"/>
    <x v="2"/>
  </r>
  <r>
    <s v="TX502152"/>
    <x v="6"/>
    <x v="1"/>
    <n v="76.099999999999994"/>
    <n v="152.19999999999999"/>
    <d v="2025-03-20T00:00:00"/>
    <d v="2025-03-20T00:00:00"/>
    <s v="F"/>
    <x v="4"/>
    <n v="5"/>
    <x v="0"/>
    <x v="16"/>
    <x v="7"/>
    <x v="11"/>
    <x v="2"/>
  </r>
  <r>
    <s v="TX502153"/>
    <x v="13"/>
    <x v="1"/>
    <n v="28.5"/>
    <n v="57"/>
    <d v="2025-03-20T00:00:00"/>
    <d v="2025-03-21T00:00:00"/>
    <s v="F"/>
    <x v="0"/>
    <n v="5"/>
    <x v="0"/>
    <x v="4"/>
    <x v="3"/>
    <x v="11"/>
    <x v="2"/>
  </r>
  <r>
    <s v="TX502154"/>
    <x v="0"/>
    <x v="12"/>
    <n v="32.1"/>
    <n v="128.4"/>
    <d v="2025-03-20T00:00:00"/>
    <d v="2025-03-21T00:00:00"/>
    <s v="F"/>
    <x v="1"/>
    <n v="5"/>
    <x v="0"/>
    <x v="25"/>
    <x v="3"/>
    <x v="11"/>
    <x v="2"/>
  </r>
  <r>
    <s v="TX502155"/>
    <x v="4"/>
    <x v="2"/>
    <n v="39"/>
    <n v="117"/>
    <d v="2025-03-20T00:00:00"/>
    <d v="2025-03-23T00:00:00"/>
    <s v="M"/>
    <x v="1"/>
    <n v="5"/>
    <x v="0"/>
    <x v="25"/>
    <x v="2"/>
    <x v="11"/>
    <x v="1"/>
  </r>
  <r>
    <s v="TX502156"/>
    <x v="6"/>
    <x v="0"/>
    <n v="78.5"/>
    <n v="78.5"/>
    <d v="2025-03-20T00:00:00"/>
    <d v="2025-03-21T00:00:00"/>
    <s v="M"/>
    <x v="1"/>
    <n v="4"/>
    <x v="0"/>
    <x v="6"/>
    <x v="3"/>
    <x v="11"/>
    <x v="1"/>
  </r>
  <r>
    <s v="TX502157"/>
    <x v="4"/>
    <x v="9"/>
    <n v="49.7"/>
    <n v="248.5"/>
    <d v="2025-03-20T00:00:00"/>
    <d v="2025-03-22T00:00:00"/>
    <s v="F"/>
    <x v="0"/>
    <n v="4"/>
    <x v="0"/>
    <x v="6"/>
    <x v="1"/>
    <x v="11"/>
    <x v="2"/>
  </r>
  <r>
    <s v="TX502158"/>
    <x v="1"/>
    <x v="12"/>
    <n v="68.400000000000006"/>
    <n v="273.60000000000002"/>
    <d v="2025-03-20T00:00:00"/>
    <d v="2025-03-21T00:00:00"/>
    <s v="F"/>
    <x v="2"/>
    <n v="5"/>
    <x v="0"/>
    <x v="7"/>
    <x v="3"/>
    <x v="11"/>
    <x v="2"/>
  </r>
  <r>
    <s v="TX502159"/>
    <x v="3"/>
    <x v="1"/>
    <n v="72.900000000000006"/>
    <n v="145.80000000000001"/>
    <d v="2025-03-20T00:00:00"/>
    <d v="2025-03-23T00:00:00"/>
    <s v=""/>
    <x v="0"/>
    <n v="5"/>
    <x v="0"/>
    <x v="7"/>
    <x v="2"/>
    <x v="11"/>
    <x v="0"/>
  </r>
  <r>
    <s v="TX502160"/>
    <x v="5"/>
    <x v="15"/>
    <n v="30.3"/>
    <n v="393.90000000000003"/>
    <d v="2025-03-20T00:00:00"/>
    <d v="2025-03-21T00:00:00"/>
    <s v="M"/>
    <x v="4"/>
    <n v="4"/>
    <x v="0"/>
    <x v="7"/>
    <x v="3"/>
    <x v="11"/>
    <x v="1"/>
  </r>
  <r>
    <s v="TX502161"/>
    <x v="6"/>
    <x v="5"/>
    <n v="57.9"/>
    <n v="636.9"/>
    <d v="2025-03-20T00:00:00"/>
    <d v="2025-03-21T00:00:00"/>
    <s v="F"/>
    <x v="0"/>
    <n v="4"/>
    <x v="0"/>
    <x v="8"/>
    <x v="3"/>
    <x v="11"/>
    <x v="2"/>
  </r>
  <r>
    <s v="TX502162"/>
    <x v="1"/>
    <x v="0"/>
    <n v="96.7"/>
    <n v="96.7"/>
    <d v="2025-03-20T00:00:00"/>
    <d v="2025-03-21T00:00:00"/>
    <s v="M"/>
    <x v="0"/>
    <n v="4"/>
    <x v="0"/>
    <x v="8"/>
    <x v="3"/>
    <x v="11"/>
    <x v="1"/>
  </r>
  <r>
    <s v="TX502163"/>
    <x v="8"/>
    <x v="4"/>
    <n v="27.6"/>
    <n v="331.20000000000005"/>
    <d v="2025-03-20T00:00:00"/>
    <d v="2025-03-22T00:00:00"/>
    <s v="M"/>
    <x v="2"/>
    <n v="5"/>
    <x v="0"/>
    <x v="8"/>
    <x v="1"/>
    <x v="11"/>
    <x v="1"/>
  </r>
  <r>
    <s v="TX502164"/>
    <x v="6"/>
    <x v="12"/>
    <n v="64.7"/>
    <n v="258.8"/>
    <d v="2025-03-20T00:00:00"/>
    <d v="2025-03-20T00:00:00"/>
    <s v="M"/>
    <x v="3"/>
    <n v="5"/>
    <x v="0"/>
    <x v="8"/>
    <x v="7"/>
    <x v="11"/>
    <x v="1"/>
  </r>
  <r>
    <s v="TX502165"/>
    <x v="10"/>
    <x v="13"/>
    <n v="30.5"/>
    <n v="183"/>
    <d v="2025-03-20T00:00:00"/>
    <d v="2025-03-21T00:00:00"/>
    <s v="M"/>
    <x v="4"/>
    <n v="4"/>
    <x v="0"/>
    <x v="8"/>
    <x v="3"/>
    <x v="11"/>
    <x v="1"/>
  </r>
  <r>
    <s v="TX502166"/>
    <x v="6"/>
    <x v="47"/>
    <n v="106"/>
    <n v="7420"/>
    <d v="2025-03-21T00:00:00"/>
    <d v="2025-03-23T00:00:00"/>
    <s v="M"/>
    <x v="4"/>
    <n v="5"/>
    <x v="0"/>
    <x v="8"/>
    <x v="1"/>
    <x v="11"/>
    <x v="1"/>
  </r>
  <r>
    <s v="TX502167"/>
    <x v="12"/>
    <x v="9"/>
    <n v="76.8"/>
    <n v="384"/>
    <d v="2025-03-21T00:00:00"/>
    <d v="2025-03-27T00:00:00"/>
    <s v=""/>
    <x v="1"/>
    <n v="3"/>
    <x v="0"/>
    <x v="18"/>
    <x v="4"/>
    <x v="11"/>
    <x v="0"/>
  </r>
  <r>
    <s v="TX502168"/>
    <x v="6"/>
    <x v="1"/>
    <n v="80.400000000000006"/>
    <n v="160.80000000000001"/>
    <d v="2025-03-21T00:00:00"/>
    <d v="2025-03-22T00:00:00"/>
    <s v="F"/>
    <x v="2"/>
    <n v="4"/>
    <x v="0"/>
    <x v="13"/>
    <x v="3"/>
    <x v="11"/>
    <x v="2"/>
  </r>
  <r>
    <s v="TX502169"/>
    <x v="6"/>
    <x v="12"/>
    <n v="69.099999999999994"/>
    <n v="276.39999999999998"/>
    <d v="2025-03-21T00:00:00"/>
    <d v="2025-03-22T00:00:00"/>
    <s v="M"/>
    <x v="1"/>
    <n v="5"/>
    <x v="0"/>
    <x v="21"/>
    <x v="3"/>
    <x v="11"/>
    <x v="1"/>
  </r>
  <r>
    <s v="TX502170"/>
    <x v="18"/>
    <x v="1"/>
    <n v="76.400000000000006"/>
    <n v="152.80000000000001"/>
    <d v="2025-03-21T00:00:00"/>
    <d v="2025-03-21T00:00:00"/>
    <s v="M"/>
    <x v="3"/>
    <n v="4"/>
    <x v="0"/>
    <x v="21"/>
    <x v="7"/>
    <x v="11"/>
    <x v="1"/>
  </r>
  <r>
    <s v="TX502171"/>
    <x v="2"/>
    <x v="1"/>
    <n v="61.3"/>
    <n v="122.6"/>
    <d v="2025-03-21T00:00:00"/>
    <d v="2025-03-22T00:00:00"/>
    <s v="F"/>
    <x v="1"/>
    <n v="3"/>
    <x v="0"/>
    <x v="21"/>
    <x v="3"/>
    <x v="11"/>
    <x v="2"/>
  </r>
  <r>
    <s v="TX502172"/>
    <x v="7"/>
    <x v="0"/>
    <n v="58"/>
    <n v="58"/>
    <d v="2025-03-21T00:00:00"/>
    <d v="2025-03-22T00:00:00"/>
    <s v="M"/>
    <x v="3"/>
    <n v="3"/>
    <x v="0"/>
    <x v="1"/>
    <x v="3"/>
    <x v="11"/>
    <x v="1"/>
  </r>
  <r>
    <s v="TX502173"/>
    <x v="2"/>
    <x v="8"/>
    <n v="102.3"/>
    <n v="818.4"/>
    <d v="2025-03-21T00:00:00"/>
    <d v="2025-03-23T00:00:00"/>
    <s v="M"/>
    <x v="2"/>
    <n v="4"/>
    <x v="0"/>
    <x v="42"/>
    <x v="1"/>
    <x v="11"/>
    <x v="1"/>
  </r>
  <r>
    <s v="TX502174"/>
    <x v="19"/>
    <x v="1"/>
    <n v="13.8"/>
    <n v="27.6"/>
    <d v="2025-03-21T00:00:00"/>
    <d v="2025-03-22T00:00:00"/>
    <s v="F"/>
    <x v="4"/>
    <n v="5"/>
    <x v="0"/>
    <x v="2"/>
    <x v="3"/>
    <x v="11"/>
    <x v="2"/>
  </r>
  <r>
    <s v="TX502175"/>
    <x v="8"/>
    <x v="2"/>
    <n v="33.299999999999997"/>
    <n v="99.899999999999991"/>
    <d v="2025-03-21T00:00:00"/>
    <d v="2025-03-24T00:00:00"/>
    <s v="F"/>
    <x v="2"/>
    <n v="4"/>
    <x v="0"/>
    <x v="22"/>
    <x v="2"/>
    <x v="11"/>
    <x v="2"/>
  </r>
  <r>
    <s v="TX502176"/>
    <x v="10"/>
    <x v="0"/>
    <n v="27.4"/>
    <n v="27.4"/>
    <d v="2025-03-21T00:00:00"/>
    <d v="2025-03-24T00:00:00"/>
    <s v="M"/>
    <x v="0"/>
    <n v="5"/>
    <x v="0"/>
    <x v="22"/>
    <x v="2"/>
    <x v="11"/>
    <x v="1"/>
  </r>
  <r>
    <s v="TX502177"/>
    <x v="14"/>
    <x v="1"/>
    <n v="25.6"/>
    <n v="51.2"/>
    <d v="2025-03-21T00:00:00"/>
    <d v="2025-03-22T00:00:00"/>
    <s v="F"/>
    <x v="1"/>
    <n v="3"/>
    <x v="0"/>
    <x v="3"/>
    <x v="3"/>
    <x v="11"/>
    <x v="2"/>
  </r>
  <r>
    <s v="TX502178"/>
    <x v="13"/>
    <x v="0"/>
    <n v="58.4"/>
    <n v="58.4"/>
    <d v="2025-03-21T00:00:00"/>
    <d v="2025-03-22T00:00:00"/>
    <s v="F"/>
    <x v="2"/>
    <n v="5"/>
    <x v="0"/>
    <x v="3"/>
    <x v="3"/>
    <x v="11"/>
    <x v="2"/>
  </r>
  <r>
    <s v="TX502179"/>
    <x v="11"/>
    <x v="17"/>
    <n v="27"/>
    <n v="810"/>
    <d v="2025-03-21T00:00:00"/>
    <d v="2025-03-22T00:00:00"/>
    <s v="F"/>
    <x v="4"/>
    <n v="4"/>
    <x v="0"/>
    <x v="3"/>
    <x v="3"/>
    <x v="11"/>
    <x v="2"/>
  </r>
  <r>
    <s v="TX502180"/>
    <x v="0"/>
    <x v="12"/>
    <n v="14.2"/>
    <n v="56.8"/>
    <d v="2025-03-21T00:00:00"/>
    <d v="2025-03-22T00:00:00"/>
    <s v="M"/>
    <x v="0"/>
    <n v="5"/>
    <x v="0"/>
    <x v="3"/>
    <x v="3"/>
    <x v="11"/>
    <x v="1"/>
  </r>
  <r>
    <s v="TX502181"/>
    <x v="7"/>
    <x v="1"/>
    <n v="68"/>
    <n v="136"/>
    <d v="2025-03-21T00:00:00"/>
    <d v="2025-03-31T00:00:00"/>
    <s v="M"/>
    <x v="2"/>
    <n v="3"/>
    <x v="0"/>
    <x v="3"/>
    <x v="14"/>
    <x v="11"/>
    <x v="1"/>
  </r>
  <r>
    <s v="TX502182"/>
    <x v="8"/>
    <x v="0"/>
    <n v="30.7"/>
    <n v="30.7"/>
    <d v="2025-03-21T00:00:00"/>
    <d v="2025-03-22T00:00:00"/>
    <s v="M"/>
    <x v="0"/>
    <n v="4"/>
    <x v="0"/>
    <x v="3"/>
    <x v="3"/>
    <x v="11"/>
    <x v="1"/>
  </r>
  <r>
    <s v="TX502183"/>
    <x v="17"/>
    <x v="15"/>
    <n v="51.6"/>
    <n v="670.80000000000007"/>
    <d v="2025-03-21T00:00:00"/>
    <d v="2025-03-24T00:00:00"/>
    <s v="O"/>
    <x v="1"/>
    <n v="5"/>
    <x v="0"/>
    <x v="3"/>
    <x v="2"/>
    <x v="11"/>
    <x v="3"/>
  </r>
  <r>
    <s v="TX502184"/>
    <x v="8"/>
    <x v="2"/>
    <n v="20.6"/>
    <n v="61.800000000000004"/>
    <d v="2025-03-21T00:00:00"/>
    <d v="2025-03-25T00:00:00"/>
    <s v="F"/>
    <x v="4"/>
    <n v="5"/>
    <x v="0"/>
    <x v="3"/>
    <x v="5"/>
    <x v="11"/>
    <x v="2"/>
  </r>
  <r>
    <s v="TX502185"/>
    <x v="8"/>
    <x v="0"/>
    <n v="24.8"/>
    <n v="24.8"/>
    <d v="2025-03-21T00:00:00"/>
    <d v="2025-03-22T00:00:00"/>
    <s v="M"/>
    <x v="4"/>
    <n v="4"/>
    <x v="0"/>
    <x v="3"/>
    <x v="3"/>
    <x v="11"/>
    <x v="1"/>
  </r>
  <r>
    <s v="TX502186"/>
    <x v="0"/>
    <x v="3"/>
    <n v="11.2"/>
    <n v="78.399999999999991"/>
    <d v="2025-03-21T00:00:00"/>
    <d v="2025-03-24T00:00:00"/>
    <s v="M"/>
    <x v="1"/>
    <n v="4"/>
    <x v="0"/>
    <x v="3"/>
    <x v="2"/>
    <x v="11"/>
    <x v="1"/>
  </r>
  <r>
    <s v="TX502187"/>
    <x v="11"/>
    <x v="1"/>
    <n v="51.2"/>
    <n v="102.4"/>
    <d v="2025-03-21T00:00:00"/>
    <d v="2025-03-22T00:00:00"/>
    <s v="F"/>
    <x v="1"/>
    <n v="5"/>
    <x v="0"/>
    <x v="3"/>
    <x v="3"/>
    <x v="11"/>
    <x v="2"/>
  </r>
  <r>
    <s v="TX502188"/>
    <x v="7"/>
    <x v="13"/>
    <n v="90.5"/>
    <n v="543"/>
    <d v="2025-03-21T00:00:00"/>
    <d v="2025-03-22T00:00:00"/>
    <s v="F"/>
    <x v="1"/>
    <n v="2"/>
    <x v="0"/>
    <x v="3"/>
    <x v="3"/>
    <x v="11"/>
    <x v="2"/>
  </r>
  <r>
    <s v="TX502189"/>
    <x v="1"/>
    <x v="1"/>
    <n v="42.4"/>
    <n v="84.8"/>
    <d v="2025-03-21T00:00:00"/>
    <d v="2025-03-22T00:00:00"/>
    <s v="M"/>
    <x v="1"/>
    <n v="5"/>
    <x v="0"/>
    <x v="4"/>
    <x v="3"/>
    <x v="11"/>
    <x v="1"/>
  </r>
  <r>
    <s v="TX502190"/>
    <x v="1"/>
    <x v="1"/>
    <n v="38.200000000000003"/>
    <n v="76.400000000000006"/>
    <d v="2025-03-21T00:00:00"/>
    <d v="2025-03-22T00:00:00"/>
    <s v="M"/>
    <x v="0"/>
    <n v="4"/>
    <x v="0"/>
    <x v="5"/>
    <x v="3"/>
    <x v="11"/>
    <x v="1"/>
  </r>
  <r>
    <s v="TX502191"/>
    <x v="2"/>
    <x v="11"/>
    <n v="121.3"/>
    <n v="1091.7"/>
    <d v="2025-03-21T00:00:00"/>
    <d v="2025-03-26T00:00:00"/>
    <s v="M"/>
    <x v="0"/>
    <n v="4"/>
    <x v="0"/>
    <x v="6"/>
    <x v="0"/>
    <x v="11"/>
    <x v="1"/>
  </r>
  <r>
    <s v="TX502192"/>
    <x v="6"/>
    <x v="1"/>
    <n v="46.9"/>
    <n v="93.8"/>
    <d v="2025-03-21T00:00:00"/>
    <d v="2025-03-28T00:00:00"/>
    <s v="M"/>
    <x v="0"/>
    <n v="4"/>
    <x v="0"/>
    <x v="8"/>
    <x v="6"/>
    <x v="11"/>
    <x v="1"/>
  </r>
  <r>
    <s v="TX502193"/>
    <x v="10"/>
    <x v="0"/>
    <n v="55.3"/>
    <n v="55.3"/>
    <d v="2025-03-21T00:00:00"/>
    <d v="2025-03-23T00:00:00"/>
    <s v="M"/>
    <x v="0"/>
    <n v="4"/>
    <x v="0"/>
    <x v="8"/>
    <x v="1"/>
    <x v="11"/>
    <x v="1"/>
  </r>
  <r>
    <s v="TX502194"/>
    <x v="2"/>
    <x v="2"/>
    <n v="70.599999999999994"/>
    <n v="211.79999999999998"/>
    <d v="2025-03-22T00:00:00"/>
    <d v="2025-03-22T00:00:00"/>
    <s v="F"/>
    <x v="0"/>
    <n v="3"/>
    <x v="0"/>
    <x v="8"/>
    <x v="7"/>
    <x v="11"/>
    <x v="2"/>
  </r>
  <r>
    <s v="TX502195"/>
    <x v="14"/>
    <x v="12"/>
    <n v="26.1"/>
    <n v="104.4"/>
    <d v="2025-03-22T00:00:00"/>
    <d v="2025-03-24T00:00:00"/>
    <s v="M"/>
    <x v="0"/>
    <n v="4"/>
    <x v="0"/>
    <x v="8"/>
    <x v="1"/>
    <x v="11"/>
    <x v="1"/>
  </r>
  <r>
    <s v="TX502196"/>
    <x v="9"/>
    <x v="5"/>
    <n v="34.5"/>
    <n v="379.5"/>
    <d v="2025-03-22T00:00:00"/>
    <d v="2025-03-26T00:00:00"/>
    <s v="M"/>
    <x v="2"/>
    <n v="4"/>
    <x v="0"/>
    <x v="17"/>
    <x v="5"/>
    <x v="11"/>
    <x v="1"/>
  </r>
  <r>
    <s v="TX502197"/>
    <x v="1"/>
    <x v="1"/>
    <n v="64.2"/>
    <n v="128.4"/>
    <d v="2025-03-22T00:00:00"/>
    <d v="2025-03-23T00:00:00"/>
    <s v="F"/>
    <x v="0"/>
    <n v="3"/>
    <x v="0"/>
    <x v="17"/>
    <x v="3"/>
    <x v="11"/>
    <x v="2"/>
  </r>
  <r>
    <s v="TX502198"/>
    <x v="2"/>
    <x v="12"/>
    <n v="145.69999999999999"/>
    <n v="582.79999999999995"/>
    <d v="2025-03-22T00:00:00"/>
    <d v="2025-03-23T00:00:00"/>
    <s v="F"/>
    <x v="0"/>
    <n v="2"/>
    <x v="0"/>
    <x v="17"/>
    <x v="3"/>
    <x v="11"/>
    <x v="2"/>
  </r>
  <r>
    <s v="TX502199"/>
    <x v="12"/>
    <x v="1"/>
    <n v="78.5"/>
    <n v="157"/>
    <d v="2025-03-22T00:00:00"/>
    <d v="2025-03-23T00:00:00"/>
    <s v="M"/>
    <x v="2"/>
    <n v="4"/>
    <x v="0"/>
    <x v="26"/>
    <x v="3"/>
    <x v="11"/>
    <x v="1"/>
  </r>
  <r>
    <s v="TX502200"/>
    <x v="1"/>
    <x v="0"/>
    <n v="34.200000000000003"/>
    <n v="34.200000000000003"/>
    <d v="2025-03-22T00:00:00"/>
    <d v="2025-03-24T00:00:00"/>
    <s v="M"/>
    <x v="0"/>
    <n v="4"/>
    <x v="0"/>
    <x v="9"/>
    <x v="1"/>
    <x v="11"/>
    <x v="1"/>
  </r>
  <r>
    <s v="TX502201"/>
    <x v="19"/>
    <x v="0"/>
    <n v="26.2"/>
    <n v="26.2"/>
    <d v="2025-03-22T00:00:00"/>
    <d v="2025-03-23T00:00:00"/>
    <s v="M"/>
    <x v="2"/>
    <n v="4"/>
    <x v="0"/>
    <x v="9"/>
    <x v="3"/>
    <x v="11"/>
    <x v="1"/>
  </r>
  <r>
    <s v="TX502202"/>
    <x v="6"/>
    <x v="12"/>
    <n v="53.2"/>
    <n v="212.8"/>
    <d v="2025-03-22T00:00:00"/>
    <d v="2025-03-23T00:00:00"/>
    <s v="M"/>
    <x v="1"/>
    <n v="3"/>
    <x v="0"/>
    <x v="11"/>
    <x v="3"/>
    <x v="11"/>
    <x v="1"/>
  </r>
  <r>
    <s v="TX502203"/>
    <x v="1"/>
    <x v="0"/>
    <n v="35.4"/>
    <n v="35.4"/>
    <d v="2025-03-22T00:00:00"/>
    <d v="2025-03-26T00:00:00"/>
    <s v="M"/>
    <x v="1"/>
    <n v="2"/>
    <x v="0"/>
    <x v="18"/>
    <x v="5"/>
    <x v="11"/>
    <x v="1"/>
  </r>
  <r>
    <s v="TX502204"/>
    <x v="14"/>
    <x v="1"/>
    <n v="21.3"/>
    <n v="42.6"/>
    <d v="2025-03-22T00:00:00"/>
    <d v="2025-03-23T00:00:00"/>
    <s v="M"/>
    <x v="2"/>
    <n v="4"/>
    <x v="0"/>
    <x v="20"/>
    <x v="3"/>
    <x v="11"/>
    <x v="1"/>
  </r>
  <r>
    <s v="TX502205"/>
    <x v="8"/>
    <x v="12"/>
    <n v="32.9"/>
    <n v="131.6"/>
    <d v="2025-03-22T00:00:00"/>
    <d v="2025-03-25T00:00:00"/>
    <s v="F"/>
    <x v="4"/>
    <n v="5"/>
    <x v="0"/>
    <x v="21"/>
    <x v="2"/>
    <x v="11"/>
    <x v="2"/>
  </r>
  <r>
    <s v="TX502206"/>
    <x v="5"/>
    <x v="20"/>
    <n v="85.5"/>
    <n v="1282.5"/>
    <d v="2025-03-22T00:00:00"/>
    <d v="2025-03-24T00:00:00"/>
    <s v="F"/>
    <x v="3"/>
    <n v="3"/>
    <x v="0"/>
    <x v="21"/>
    <x v="1"/>
    <x v="11"/>
    <x v="2"/>
  </r>
  <r>
    <s v="TX502207"/>
    <x v="4"/>
    <x v="0"/>
    <n v="26.8"/>
    <n v="26.8"/>
    <d v="2025-03-22T00:00:00"/>
    <d v="2025-03-23T00:00:00"/>
    <s v="F"/>
    <x v="0"/>
    <n v="3"/>
    <x v="0"/>
    <x v="2"/>
    <x v="3"/>
    <x v="11"/>
    <x v="2"/>
  </r>
  <r>
    <s v="TX502208"/>
    <x v="9"/>
    <x v="18"/>
    <n v="31.7"/>
    <n v="824.19999999999993"/>
    <d v="2025-03-22T00:00:00"/>
    <d v="2025-03-22T00:00:00"/>
    <s v="F"/>
    <x v="3"/>
    <n v="4"/>
    <x v="0"/>
    <x v="2"/>
    <x v="7"/>
    <x v="11"/>
    <x v="2"/>
  </r>
  <r>
    <s v="TX502209"/>
    <x v="1"/>
    <x v="1"/>
    <n v="78.3"/>
    <n v="156.6"/>
    <d v="2025-03-22T00:00:00"/>
    <d v="2025-03-24T00:00:00"/>
    <s v="F"/>
    <x v="1"/>
    <n v="3"/>
    <x v="0"/>
    <x v="3"/>
    <x v="1"/>
    <x v="11"/>
    <x v="2"/>
  </r>
  <r>
    <s v="TX502210"/>
    <x v="6"/>
    <x v="0"/>
    <n v="43.9"/>
    <n v="43.9"/>
    <d v="2025-03-22T00:00:00"/>
    <d v="2025-03-23T00:00:00"/>
    <s v="M"/>
    <x v="0"/>
    <n v="4"/>
    <x v="0"/>
    <x v="3"/>
    <x v="3"/>
    <x v="11"/>
    <x v="1"/>
  </r>
  <r>
    <s v="TX502211"/>
    <x v="18"/>
    <x v="2"/>
    <n v="84"/>
    <n v="252"/>
    <d v="2025-03-22T00:00:00"/>
    <d v="2025-03-24T00:00:00"/>
    <s v=""/>
    <x v="3"/>
    <n v="5"/>
    <x v="0"/>
    <x v="3"/>
    <x v="1"/>
    <x v="11"/>
    <x v="0"/>
  </r>
  <r>
    <s v="TX502212"/>
    <x v="0"/>
    <x v="2"/>
    <n v="11.4"/>
    <n v="34.200000000000003"/>
    <d v="2025-03-22T00:00:00"/>
    <d v="2025-03-23T00:00:00"/>
    <s v="M"/>
    <x v="4"/>
    <n v="4"/>
    <x v="0"/>
    <x v="3"/>
    <x v="3"/>
    <x v="11"/>
    <x v="1"/>
  </r>
  <r>
    <s v="TX502213"/>
    <x v="12"/>
    <x v="8"/>
    <n v="47.5"/>
    <n v="380"/>
    <d v="2025-03-22T00:00:00"/>
    <d v="2025-03-30T00:00:00"/>
    <s v="F"/>
    <x v="0"/>
    <n v="4"/>
    <x v="0"/>
    <x v="3"/>
    <x v="9"/>
    <x v="11"/>
    <x v="2"/>
  </r>
  <r>
    <s v="TX502214"/>
    <x v="9"/>
    <x v="5"/>
    <n v="50.5"/>
    <n v="555.5"/>
    <d v="2025-03-22T00:00:00"/>
    <d v="2025-03-24T00:00:00"/>
    <s v="M"/>
    <x v="2"/>
    <n v="4"/>
    <x v="0"/>
    <x v="3"/>
    <x v="1"/>
    <x v="11"/>
    <x v="1"/>
  </r>
  <r>
    <s v="TX502215"/>
    <x v="15"/>
    <x v="0"/>
    <n v="36.299999999999997"/>
    <n v="36.299999999999997"/>
    <d v="2025-03-22T00:00:00"/>
    <d v="2025-03-25T00:00:00"/>
    <s v="O"/>
    <x v="0"/>
    <n v="3"/>
    <x v="0"/>
    <x v="8"/>
    <x v="2"/>
    <x v="11"/>
    <x v="3"/>
  </r>
  <r>
    <s v="TX502216"/>
    <x v="8"/>
    <x v="1"/>
    <n v="35.4"/>
    <n v="70.8"/>
    <d v="2025-03-22T00:00:00"/>
    <d v="2025-03-23T00:00:00"/>
    <s v="F"/>
    <x v="0"/>
    <n v="4"/>
    <x v="0"/>
    <x v="17"/>
    <x v="3"/>
    <x v="11"/>
    <x v="2"/>
  </r>
  <r>
    <s v="TX502217"/>
    <x v="1"/>
    <x v="2"/>
    <n v="45.9"/>
    <n v="137.69999999999999"/>
    <d v="2025-03-23T00:00:00"/>
    <d v="2025-03-24T00:00:00"/>
    <s v="M"/>
    <x v="3"/>
    <n v="4"/>
    <x v="0"/>
    <x v="9"/>
    <x v="3"/>
    <x v="12"/>
    <x v="1"/>
  </r>
  <r>
    <s v="TX502218"/>
    <x v="6"/>
    <x v="7"/>
    <n v="41.2"/>
    <n v="412"/>
    <d v="2025-03-23T00:00:00"/>
    <d v="2025-03-27T00:00:00"/>
    <s v="M"/>
    <x v="0"/>
    <n v="4"/>
    <x v="0"/>
    <x v="11"/>
    <x v="5"/>
    <x v="12"/>
    <x v="1"/>
  </r>
  <r>
    <s v="TX502219"/>
    <x v="17"/>
    <x v="1"/>
    <n v="45.1"/>
    <n v="90.2"/>
    <d v="2025-03-23T00:00:00"/>
    <d v="2025-03-24T00:00:00"/>
    <s v="M"/>
    <x v="1"/>
    <n v="3"/>
    <x v="0"/>
    <x v="21"/>
    <x v="3"/>
    <x v="12"/>
    <x v="1"/>
  </r>
  <r>
    <s v="TX502220"/>
    <x v="6"/>
    <x v="7"/>
    <n v="63.6"/>
    <n v="636"/>
    <d v="2025-03-23T00:00:00"/>
    <d v="2025-03-23T00:00:00"/>
    <s v="M"/>
    <x v="2"/>
    <n v="4"/>
    <x v="0"/>
    <x v="1"/>
    <x v="7"/>
    <x v="12"/>
    <x v="1"/>
  </r>
  <r>
    <s v="TX502221"/>
    <x v="8"/>
    <x v="0"/>
    <n v="70.5"/>
    <n v="70.5"/>
    <d v="2025-03-23T00:00:00"/>
    <d v="2025-03-24T00:00:00"/>
    <s v="M"/>
    <x v="0"/>
    <n v="4"/>
    <x v="0"/>
    <x v="3"/>
    <x v="3"/>
    <x v="12"/>
    <x v="1"/>
  </r>
  <r>
    <s v="TX502222"/>
    <x v="6"/>
    <x v="0"/>
    <n v="41.3"/>
    <n v="41.3"/>
    <d v="2025-03-23T00:00:00"/>
    <d v="2025-03-23T00:00:00"/>
    <s v="M"/>
    <x v="4"/>
    <n v="4"/>
    <x v="0"/>
    <x v="3"/>
    <x v="7"/>
    <x v="12"/>
    <x v="1"/>
  </r>
  <r>
    <s v="TX502223"/>
    <x v="4"/>
    <x v="0"/>
    <n v="35.299999999999997"/>
    <n v="35.299999999999997"/>
    <d v="2025-03-23T00:00:00"/>
    <d v="2025-03-26T00:00:00"/>
    <s v="F"/>
    <x v="4"/>
    <n v="5"/>
    <x v="0"/>
    <x v="3"/>
    <x v="2"/>
    <x v="12"/>
    <x v="2"/>
  </r>
  <r>
    <s v="TX502224"/>
    <x v="8"/>
    <x v="9"/>
    <n v="34.700000000000003"/>
    <n v="173.5"/>
    <d v="2025-03-23T00:00:00"/>
    <d v="2025-03-24T00:00:00"/>
    <s v="F"/>
    <x v="0"/>
    <n v="5"/>
    <x v="0"/>
    <x v="3"/>
    <x v="3"/>
    <x v="12"/>
    <x v="2"/>
  </r>
  <r>
    <s v="TX502225"/>
    <x v="8"/>
    <x v="2"/>
    <n v="26.1"/>
    <n v="78.300000000000011"/>
    <d v="2025-03-23T00:00:00"/>
    <d v="2025-03-24T00:00:00"/>
    <s v="F"/>
    <x v="0"/>
    <n v="4"/>
    <x v="0"/>
    <x v="3"/>
    <x v="3"/>
    <x v="12"/>
    <x v="2"/>
  </r>
  <r>
    <s v="TX502226"/>
    <x v="9"/>
    <x v="9"/>
    <n v="22.6"/>
    <n v="113"/>
    <d v="2025-03-23T00:00:00"/>
    <d v="2025-03-23T00:00:00"/>
    <s v="F"/>
    <x v="1"/>
    <n v="5"/>
    <x v="0"/>
    <x v="3"/>
    <x v="7"/>
    <x v="12"/>
    <x v="2"/>
  </r>
  <r>
    <s v="TX502227"/>
    <x v="2"/>
    <x v="1"/>
    <n v="154.4"/>
    <n v="308.8"/>
    <d v="2025-03-23T00:00:00"/>
    <d v="2025-03-26T00:00:00"/>
    <s v="M"/>
    <x v="1"/>
    <n v="3"/>
    <x v="0"/>
    <x v="3"/>
    <x v="2"/>
    <x v="12"/>
    <x v="1"/>
  </r>
  <r>
    <s v="TX502228"/>
    <x v="8"/>
    <x v="1"/>
    <n v="18.399999999999999"/>
    <n v="36.799999999999997"/>
    <d v="2025-03-23T00:00:00"/>
    <d v="2025-03-24T00:00:00"/>
    <s v="M"/>
    <x v="0"/>
    <n v="4"/>
    <x v="0"/>
    <x v="3"/>
    <x v="3"/>
    <x v="12"/>
    <x v="1"/>
  </r>
  <r>
    <s v="TX502229"/>
    <x v="14"/>
    <x v="0"/>
    <n v="25"/>
    <n v="25"/>
    <d v="2025-03-23T00:00:00"/>
    <d v="2025-03-26T00:00:00"/>
    <s v="F"/>
    <x v="0"/>
    <n v="4"/>
    <x v="0"/>
    <x v="3"/>
    <x v="2"/>
    <x v="12"/>
    <x v="2"/>
  </r>
  <r>
    <s v="TX502230"/>
    <x v="2"/>
    <x v="13"/>
    <n v="105.6"/>
    <n v="633.59999999999991"/>
    <d v="2025-03-23T00:00:00"/>
    <d v="2025-03-23T00:00:00"/>
    <s v="F"/>
    <x v="0"/>
    <n v="4"/>
    <x v="0"/>
    <x v="3"/>
    <x v="7"/>
    <x v="12"/>
    <x v="2"/>
  </r>
  <r>
    <s v="TX502231"/>
    <x v="18"/>
    <x v="8"/>
    <n v="59.6"/>
    <n v="476.8"/>
    <d v="2025-03-23T00:00:00"/>
    <d v="2025-03-23T00:00:00"/>
    <s v="F"/>
    <x v="0"/>
    <n v="5"/>
    <x v="0"/>
    <x v="23"/>
    <x v="7"/>
    <x v="12"/>
    <x v="2"/>
  </r>
  <r>
    <s v="TX502232"/>
    <x v="15"/>
    <x v="2"/>
    <n v="75.400000000000006"/>
    <n v="226.20000000000002"/>
    <d v="2025-03-23T00:00:00"/>
    <d v="2025-03-28T00:00:00"/>
    <s v="M"/>
    <x v="0"/>
    <n v="3"/>
    <x v="0"/>
    <x v="7"/>
    <x v="0"/>
    <x v="12"/>
    <x v="1"/>
  </r>
  <r>
    <s v="TX502233"/>
    <x v="7"/>
    <x v="0"/>
    <n v="104.4"/>
    <n v="104.4"/>
    <d v="2025-03-23T00:00:00"/>
    <d v="2025-03-24T00:00:00"/>
    <s v="F"/>
    <x v="0"/>
    <n v="4"/>
    <x v="0"/>
    <x v="8"/>
    <x v="3"/>
    <x v="12"/>
    <x v="2"/>
  </r>
  <r>
    <s v="TX502234"/>
    <x v="2"/>
    <x v="7"/>
    <n v="208.2"/>
    <n v="2082"/>
    <d v="2025-03-23T00:00:00"/>
    <d v="2025-03-24T00:00:00"/>
    <s v="M"/>
    <x v="0"/>
    <n v="5"/>
    <x v="0"/>
    <x v="8"/>
    <x v="3"/>
    <x v="12"/>
    <x v="1"/>
  </r>
  <r>
    <s v="TX502235"/>
    <x v="6"/>
    <x v="1"/>
    <n v="45"/>
    <n v="90"/>
    <d v="2025-03-23T00:00:00"/>
    <d v="2025-03-26T00:00:00"/>
    <s v="F"/>
    <x v="0"/>
    <n v="4"/>
    <x v="0"/>
    <x v="10"/>
    <x v="2"/>
    <x v="12"/>
    <x v="2"/>
  </r>
  <r>
    <s v="TX502236"/>
    <x v="15"/>
    <x v="1"/>
    <n v="20.3"/>
    <n v="40.6"/>
    <d v="2025-03-24T00:00:00"/>
    <d v="2025-03-26T00:00:00"/>
    <s v=""/>
    <x v="1"/>
    <n v="4"/>
    <x v="0"/>
    <x v="11"/>
    <x v="1"/>
    <x v="12"/>
    <x v="0"/>
  </r>
  <r>
    <s v="TX502237"/>
    <x v="2"/>
    <x v="2"/>
    <n v="94.4"/>
    <n v="283.20000000000005"/>
    <d v="2025-03-24T00:00:00"/>
    <d v="2025-03-25T00:00:00"/>
    <s v="F"/>
    <x v="0"/>
    <n v="5"/>
    <x v="0"/>
    <x v="11"/>
    <x v="3"/>
    <x v="12"/>
    <x v="2"/>
  </r>
  <r>
    <s v="TX502238"/>
    <x v="9"/>
    <x v="0"/>
    <n v="49"/>
    <n v="49"/>
    <d v="2025-03-24T00:00:00"/>
    <d v="2025-03-26T00:00:00"/>
    <s v="F"/>
    <x v="0"/>
    <n v="5"/>
    <x v="0"/>
    <x v="20"/>
    <x v="1"/>
    <x v="12"/>
    <x v="2"/>
  </r>
  <r>
    <s v="TX502239"/>
    <x v="4"/>
    <x v="1"/>
    <n v="27.2"/>
    <n v="54.4"/>
    <d v="2025-03-24T00:00:00"/>
    <d v="2025-03-26T00:00:00"/>
    <s v="M"/>
    <x v="0"/>
    <n v="5"/>
    <x v="0"/>
    <x v="1"/>
    <x v="1"/>
    <x v="12"/>
    <x v="1"/>
  </r>
  <r>
    <s v="TX502240"/>
    <x v="2"/>
    <x v="13"/>
    <n v="72.599999999999994"/>
    <n v="435.59999999999997"/>
    <d v="2025-03-24T00:00:00"/>
    <d v="2025-03-25T00:00:00"/>
    <s v="F"/>
    <x v="0"/>
    <n v="5"/>
    <x v="0"/>
    <x v="2"/>
    <x v="3"/>
    <x v="12"/>
    <x v="2"/>
  </r>
  <r>
    <s v="TX502241"/>
    <x v="15"/>
    <x v="12"/>
    <n v="62.4"/>
    <n v="249.6"/>
    <d v="2025-03-24T00:00:00"/>
    <d v="2025-03-25T00:00:00"/>
    <s v="F"/>
    <x v="0"/>
    <n v="4"/>
    <x v="0"/>
    <x v="3"/>
    <x v="3"/>
    <x v="12"/>
    <x v="2"/>
  </r>
  <r>
    <s v="TX502242"/>
    <x v="8"/>
    <x v="2"/>
    <n v="19.100000000000001"/>
    <n v="57.300000000000004"/>
    <d v="2025-03-24T00:00:00"/>
    <d v="2025-03-26T00:00:00"/>
    <s v="M"/>
    <x v="0"/>
    <n v="3"/>
    <x v="0"/>
    <x v="3"/>
    <x v="1"/>
    <x v="12"/>
    <x v="1"/>
  </r>
  <r>
    <s v="TX502243"/>
    <x v="10"/>
    <x v="0"/>
    <n v="29.6"/>
    <n v="29.6"/>
    <d v="2025-03-24T00:00:00"/>
    <d v="2025-03-28T00:00:00"/>
    <s v="M"/>
    <x v="0"/>
    <n v="2"/>
    <x v="0"/>
    <x v="3"/>
    <x v="5"/>
    <x v="12"/>
    <x v="1"/>
  </r>
  <r>
    <s v="TX502244"/>
    <x v="8"/>
    <x v="1"/>
    <n v="18.899999999999999"/>
    <n v="37.799999999999997"/>
    <d v="2025-03-24T00:00:00"/>
    <d v="2025-03-26T00:00:00"/>
    <s v="F"/>
    <x v="4"/>
    <n v="5"/>
    <x v="0"/>
    <x v="3"/>
    <x v="1"/>
    <x v="12"/>
    <x v="2"/>
  </r>
  <r>
    <s v="TX502245"/>
    <x v="10"/>
    <x v="9"/>
    <n v="41.4"/>
    <n v="207"/>
    <d v="2025-03-24T00:00:00"/>
    <d v="2025-03-25T00:00:00"/>
    <s v="M"/>
    <x v="3"/>
    <n v="4"/>
    <x v="0"/>
    <x v="3"/>
    <x v="3"/>
    <x v="12"/>
    <x v="1"/>
  </r>
  <r>
    <s v="TX502246"/>
    <x v="2"/>
    <x v="0"/>
    <n v="118.4"/>
    <n v="118.4"/>
    <d v="2025-03-24T00:00:00"/>
    <d v="2025-03-25T00:00:00"/>
    <s v="F"/>
    <x v="0"/>
    <n v="5"/>
    <x v="0"/>
    <x v="3"/>
    <x v="3"/>
    <x v="12"/>
    <x v="2"/>
  </r>
  <r>
    <s v="TX502247"/>
    <x v="2"/>
    <x v="1"/>
    <n v="125.3"/>
    <n v="250.6"/>
    <d v="2025-03-24T00:00:00"/>
    <d v="2025-03-27T00:00:00"/>
    <s v="F"/>
    <x v="0"/>
    <n v="5"/>
    <x v="0"/>
    <x v="3"/>
    <x v="2"/>
    <x v="12"/>
    <x v="2"/>
  </r>
  <r>
    <s v="TX502248"/>
    <x v="3"/>
    <x v="1"/>
    <n v="85.8"/>
    <n v="171.6"/>
    <d v="2025-03-24T00:00:00"/>
    <d v="2025-03-25T00:00:00"/>
    <s v="F"/>
    <x v="1"/>
    <n v="2"/>
    <x v="0"/>
    <x v="3"/>
    <x v="3"/>
    <x v="12"/>
    <x v="2"/>
  </r>
  <r>
    <s v="TX502249"/>
    <x v="6"/>
    <x v="0"/>
    <n v="44.2"/>
    <n v="44.2"/>
    <d v="2025-03-24T00:00:00"/>
    <d v="2025-03-27T00:00:00"/>
    <s v="M"/>
    <x v="1"/>
    <n v="4"/>
    <x v="0"/>
    <x v="3"/>
    <x v="2"/>
    <x v="12"/>
    <x v="1"/>
  </r>
  <r>
    <s v="TX502250"/>
    <x v="5"/>
    <x v="12"/>
    <n v="74.099999999999994"/>
    <n v="296.39999999999998"/>
    <d v="2025-03-24T00:00:00"/>
    <d v="2025-03-26T00:00:00"/>
    <s v="F"/>
    <x v="0"/>
    <n v="4"/>
    <x v="0"/>
    <x v="3"/>
    <x v="1"/>
    <x v="12"/>
    <x v="2"/>
  </r>
  <r>
    <s v="TX502251"/>
    <x v="8"/>
    <x v="0"/>
    <n v="33.799999999999997"/>
    <n v="33.799999999999997"/>
    <d v="2025-03-24T00:00:00"/>
    <d v="2025-03-25T00:00:00"/>
    <s v="F"/>
    <x v="2"/>
    <n v="5"/>
    <x v="0"/>
    <x v="24"/>
    <x v="3"/>
    <x v="12"/>
    <x v="2"/>
  </r>
  <r>
    <s v="TX502252"/>
    <x v="1"/>
    <x v="1"/>
    <n v="39.1"/>
    <n v="78.2"/>
    <d v="2025-03-24T00:00:00"/>
    <d v="2025-03-25T00:00:00"/>
    <s v="M"/>
    <x v="0"/>
    <n v="3"/>
    <x v="0"/>
    <x v="24"/>
    <x v="3"/>
    <x v="12"/>
    <x v="1"/>
  </r>
  <r>
    <s v="TX502253"/>
    <x v="0"/>
    <x v="0"/>
    <n v="37.200000000000003"/>
    <n v="37.200000000000003"/>
    <d v="2025-03-24T00:00:00"/>
    <d v="2025-03-25T00:00:00"/>
    <s v="M"/>
    <x v="0"/>
    <n v="3"/>
    <x v="0"/>
    <x v="16"/>
    <x v="3"/>
    <x v="12"/>
    <x v="1"/>
  </r>
  <r>
    <s v="TX502254"/>
    <x v="15"/>
    <x v="2"/>
    <n v="33.9"/>
    <n v="101.69999999999999"/>
    <d v="2025-03-24T00:00:00"/>
    <d v="2025-03-26T00:00:00"/>
    <s v="M"/>
    <x v="2"/>
    <n v="4"/>
    <x v="0"/>
    <x v="6"/>
    <x v="1"/>
    <x v="12"/>
    <x v="1"/>
  </r>
  <r>
    <s v="TX502255"/>
    <x v="7"/>
    <x v="20"/>
    <n v="73.3"/>
    <n v="1099.5"/>
    <d v="2025-03-24T00:00:00"/>
    <d v="2025-03-27T00:00:00"/>
    <s v="F"/>
    <x v="2"/>
    <n v="3"/>
    <x v="0"/>
    <x v="8"/>
    <x v="2"/>
    <x v="12"/>
    <x v="2"/>
  </r>
  <r>
    <s v="TX502256"/>
    <x v="8"/>
    <x v="12"/>
    <n v="35"/>
    <n v="140"/>
    <d v="2025-03-24T00:00:00"/>
    <d v="2025-03-26T00:00:00"/>
    <s v="F"/>
    <x v="1"/>
    <n v="4"/>
    <x v="0"/>
    <x v="8"/>
    <x v="1"/>
    <x v="12"/>
    <x v="2"/>
  </r>
  <r>
    <s v="TX502257"/>
    <x v="0"/>
    <x v="2"/>
    <n v="22.2"/>
    <n v="66.599999999999994"/>
    <d v="2025-03-24T00:00:00"/>
    <d v="2025-03-25T00:00:00"/>
    <s v="M"/>
    <x v="1"/>
    <n v="4"/>
    <x v="0"/>
    <x v="17"/>
    <x v="3"/>
    <x v="12"/>
    <x v="1"/>
  </r>
  <r>
    <s v="TX502258"/>
    <x v="10"/>
    <x v="0"/>
    <n v="32.4"/>
    <n v="32.4"/>
    <d v="2025-03-24T00:00:00"/>
    <d v="2025-03-25T00:00:00"/>
    <s v="F"/>
    <x v="0"/>
    <n v="4"/>
    <x v="0"/>
    <x v="11"/>
    <x v="3"/>
    <x v="12"/>
    <x v="2"/>
  </r>
  <r>
    <s v="TX502259"/>
    <x v="5"/>
    <x v="2"/>
    <n v="88.4"/>
    <n v="265.20000000000005"/>
    <d v="2025-03-25T00:00:00"/>
    <d v="2025-03-27T00:00:00"/>
    <s v="F"/>
    <x v="1"/>
    <n v="3"/>
    <x v="0"/>
    <x v="11"/>
    <x v="1"/>
    <x v="12"/>
    <x v="2"/>
  </r>
  <r>
    <s v="TX502260"/>
    <x v="5"/>
    <x v="27"/>
    <n v="30.5"/>
    <n v="488"/>
    <d v="2025-03-25T00:00:00"/>
    <d v="2025-03-26T00:00:00"/>
    <s v="F"/>
    <x v="2"/>
    <n v="4"/>
    <x v="0"/>
    <x v="11"/>
    <x v="3"/>
    <x v="12"/>
    <x v="2"/>
  </r>
  <r>
    <s v="TX502261"/>
    <x v="1"/>
    <x v="13"/>
    <n v="38.1"/>
    <n v="228.60000000000002"/>
    <d v="2025-03-25T00:00:00"/>
    <d v="2025-03-27T00:00:00"/>
    <s v="F"/>
    <x v="0"/>
    <n v="3"/>
    <x v="0"/>
    <x v="11"/>
    <x v="1"/>
    <x v="12"/>
    <x v="2"/>
  </r>
  <r>
    <s v="TX502262"/>
    <x v="10"/>
    <x v="9"/>
    <n v="37.6"/>
    <n v="188"/>
    <d v="2025-03-25T00:00:00"/>
    <d v="2025-03-29T00:00:00"/>
    <s v="M"/>
    <x v="0"/>
    <n v="4"/>
    <x v="0"/>
    <x v="11"/>
    <x v="5"/>
    <x v="12"/>
    <x v="1"/>
  </r>
  <r>
    <s v="TX502263"/>
    <x v="15"/>
    <x v="1"/>
    <n v="31.4"/>
    <n v="62.8"/>
    <d v="2025-03-25T00:00:00"/>
    <d v="2025-03-26T00:00:00"/>
    <s v="M"/>
    <x v="0"/>
    <n v="5"/>
    <x v="0"/>
    <x v="11"/>
    <x v="3"/>
    <x v="12"/>
    <x v="1"/>
  </r>
  <r>
    <s v="TX502264"/>
    <x v="6"/>
    <x v="1"/>
    <n v="61.5"/>
    <n v="123"/>
    <d v="2025-03-25T00:00:00"/>
    <d v="2025-03-26T00:00:00"/>
    <s v="M"/>
    <x v="3"/>
    <n v="4"/>
    <x v="0"/>
    <x v="31"/>
    <x v="3"/>
    <x v="12"/>
    <x v="1"/>
  </r>
  <r>
    <s v="TX502265"/>
    <x v="6"/>
    <x v="0"/>
    <n v="72.599999999999994"/>
    <n v="72.599999999999994"/>
    <d v="2025-03-25T00:00:00"/>
    <d v="2025-03-26T00:00:00"/>
    <s v="M"/>
    <x v="0"/>
    <n v="3"/>
    <x v="0"/>
    <x v="21"/>
    <x v="3"/>
    <x v="12"/>
    <x v="1"/>
  </r>
  <r>
    <s v="TX502266"/>
    <x v="9"/>
    <x v="2"/>
    <n v="26.9"/>
    <n v="80.699999999999989"/>
    <d v="2025-03-25T00:00:00"/>
    <d v="2025-03-30T00:00:00"/>
    <s v="O"/>
    <x v="4"/>
    <n v="3"/>
    <x v="0"/>
    <x v="46"/>
    <x v="0"/>
    <x v="12"/>
    <x v="3"/>
  </r>
  <r>
    <s v="TX502267"/>
    <x v="17"/>
    <x v="4"/>
    <n v="29.4"/>
    <n v="352.79999999999995"/>
    <d v="2025-03-25T00:00:00"/>
    <d v="2025-03-26T00:00:00"/>
    <s v="F"/>
    <x v="1"/>
    <n v="4"/>
    <x v="0"/>
    <x v="51"/>
    <x v="3"/>
    <x v="12"/>
    <x v="2"/>
  </r>
  <r>
    <s v="TX502268"/>
    <x v="17"/>
    <x v="1"/>
    <n v="42.1"/>
    <n v="84.2"/>
    <d v="2025-03-25T00:00:00"/>
    <d v="2025-03-26T00:00:00"/>
    <s v="F"/>
    <x v="3"/>
    <n v="3"/>
    <x v="0"/>
    <x v="1"/>
    <x v="3"/>
    <x v="12"/>
    <x v="2"/>
  </r>
  <r>
    <s v="TX502269"/>
    <x v="5"/>
    <x v="0"/>
    <n v="40.5"/>
    <n v="40.5"/>
    <d v="2025-03-25T00:00:00"/>
    <d v="2025-03-26T00:00:00"/>
    <s v="F"/>
    <x v="2"/>
    <n v="3"/>
    <x v="0"/>
    <x v="1"/>
    <x v="3"/>
    <x v="12"/>
    <x v="2"/>
  </r>
  <r>
    <s v="TX502270"/>
    <x v="2"/>
    <x v="12"/>
    <n v="182.3"/>
    <n v="729.2"/>
    <d v="2025-03-25T00:00:00"/>
    <d v="2025-03-26T00:00:00"/>
    <s v="F"/>
    <x v="1"/>
    <n v="4"/>
    <x v="0"/>
    <x v="1"/>
    <x v="3"/>
    <x v="12"/>
    <x v="2"/>
  </r>
  <r>
    <s v="TX502271"/>
    <x v="2"/>
    <x v="9"/>
    <n v="157"/>
    <n v="785"/>
    <d v="2025-03-25T00:00:00"/>
    <d v="2025-03-28T00:00:00"/>
    <s v="F"/>
    <x v="1"/>
    <n v="5"/>
    <x v="0"/>
    <x v="2"/>
    <x v="2"/>
    <x v="12"/>
    <x v="2"/>
  </r>
  <r>
    <s v="TX502272"/>
    <x v="17"/>
    <x v="9"/>
    <n v="45.2"/>
    <n v="226"/>
    <d v="2025-03-25T00:00:00"/>
    <d v="2025-03-28T00:00:00"/>
    <s v="F"/>
    <x v="1"/>
    <n v="4"/>
    <x v="0"/>
    <x v="22"/>
    <x v="2"/>
    <x v="12"/>
    <x v="2"/>
  </r>
  <r>
    <s v="TX502273"/>
    <x v="15"/>
    <x v="12"/>
    <n v="27.4"/>
    <n v="109.6"/>
    <d v="2025-03-25T00:00:00"/>
    <d v="2025-03-27T00:00:00"/>
    <s v="F"/>
    <x v="0"/>
    <n v="4"/>
    <x v="0"/>
    <x v="3"/>
    <x v="1"/>
    <x v="12"/>
    <x v="2"/>
  </r>
  <r>
    <s v="TX502274"/>
    <x v="5"/>
    <x v="9"/>
    <n v="34.1"/>
    <n v="170.5"/>
    <d v="2025-03-25T00:00:00"/>
    <d v="2025-03-27T00:00:00"/>
    <s v="M"/>
    <x v="0"/>
    <n v="5"/>
    <x v="0"/>
    <x v="3"/>
    <x v="1"/>
    <x v="12"/>
    <x v="1"/>
  </r>
  <r>
    <s v="TX502275"/>
    <x v="0"/>
    <x v="1"/>
    <n v="26"/>
    <n v="52"/>
    <d v="2025-03-25T00:00:00"/>
    <d v="2025-03-27T00:00:00"/>
    <s v="M"/>
    <x v="2"/>
    <n v="3"/>
    <x v="0"/>
    <x v="3"/>
    <x v="1"/>
    <x v="12"/>
    <x v="1"/>
  </r>
  <r>
    <s v="TX502276"/>
    <x v="8"/>
    <x v="3"/>
    <n v="19.399999999999999"/>
    <n v="135.79999999999998"/>
    <d v="2025-03-25T00:00:00"/>
    <d v="2025-03-27T00:00:00"/>
    <s v=""/>
    <x v="1"/>
    <n v="3"/>
    <x v="0"/>
    <x v="3"/>
    <x v="1"/>
    <x v="12"/>
    <x v="0"/>
  </r>
  <r>
    <s v="TX502277"/>
    <x v="16"/>
    <x v="2"/>
    <n v="30.3"/>
    <n v="90.9"/>
    <d v="2025-03-25T00:00:00"/>
    <d v="2025-03-28T00:00:00"/>
    <s v="F"/>
    <x v="1"/>
    <n v="5"/>
    <x v="0"/>
    <x v="3"/>
    <x v="2"/>
    <x v="12"/>
    <x v="2"/>
  </r>
  <r>
    <s v="TX502278"/>
    <x v="2"/>
    <x v="2"/>
    <n v="101.4"/>
    <n v="304.20000000000005"/>
    <d v="2025-03-25T00:00:00"/>
    <d v="2025-03-26T00:00:00"/>
    <s v="M"/>
    <x v="0"/>
    <n v="4"/>
    <x v="0"/>
    <x v="3"/>
    <x v="3"/>
    <x v="12"/>
    <x v="1"/>
  </r>
  <r>
    <s v="TX502279"/>
    <x v="3"/>
    <x v="9"/>
    <n v="55.5"/>
    <n v="277.5"/>
    <d v="2025-03-25T00:00:00"/>
    <d v="2025-03-28T00:00:00"/>
    <s v="M"/>
    <x v="1"/>
    <n v="4"/>
    <x v="0"/>
    <x v="24"/>
    <x v="2"/>
    <x v="12"/>
    <x v="1"/>
  </r>
  <r>
    <s v="TX502280"/>
    <x v="8"/>
    <x v="0"/>
    <n v="23.1"/>
    <n v="23.1"/>
    <d v="2025-03-25T00:00:00"/>
    <d v="2025-03-26T00:00:00"/>
    <s v="M"/>
    <x v="0"/>
    <n v="4"/>
    <x v="0"/>
    <x v="25"/>
    <x v="3"/>
    <x v="12"/>
    <x v="1"/>
  </r>
  <r>
    <s v="TX502281"/>
    <x v="18"/>
    <x v="1"/>
    <n v="38.9"/>
    <n v="77.8"/>
    <d v="2025-03-25T00:00:00"/>
    <d v="2025-03-26T00:00:00"/>
    <s v="M"/>
    <x v="2"/>
    <n v="4"/>
    <x v="0"/>
    <x v="25"/>
    <x v="3"/>
    <x v="12"/>
    <x v="1"/>
  </r>
  <r>
    <s v="TX502282"/>
    <x v="6"/>
    <x v="11"/>
    <n v="116.3"/>
    <n v="1046.7"/>
    <d v="2025-03-25T00:00:00"/>
    <d v="2025-03-29T00:00:00"/>
    <s v="F"/>
    <x v="0"/>
    <n v="4"/>
    <x v="0"/>
    <x v="5"/>
    <x v="5"/>
    <x v="12"/>
    <x v="2"/>
  </r>
  <r>
    <s v="TX502283"/>
    <x v="16"/>
    <x v="11"/>
    <n v="64.099999999999994"/>
    <n v="576.9"/>
    <d v="2025-03-25T00:00:00"/>
    <d v="2025-03-25T00:00:00"/>
    <s v="F"/>
    <x v="0"/>
    <n v="5"/>
    <x v="0"/>
    <x v="6"/>
    <x v="7"/>
    <x v="12"/>
    <x v="2"/>
  </r>
  <r>
    <s v="TX502284"/>
    <x v="2"/>
    <x v="13"/>
    <n v="109.2"/>
    <n v="655.20000000000005"/>
    <d v="2025-03-25T00:00:00"/>
    <d v="2025-03-27T00:00:00"/>
    <s v="M"/>
    <x v="0"/>
    <n v="3"/>
    <x v="0"/>
    <x v="8"/>
    <x v="1"/>
    <x v="12"/>
    <x v="1"/>
  </r>
  <r>
    <s v="TX502285"/>
    <x v="10"/>
    <x v="9"/>
    <n v="23.2"/>
    <n v="116"/>
    <d v="2025-03-26T00:00:00"/>
    <d v="2025-03-27T00:00:00"/>
    <s v="M"/>
    <x v="0"/>
    <n v="3"/>
    <x v="0"/>
    <x v="8"/>
    <x v="3"/>
    <x v="12"/>
    <x v="1"/>
  </r>
  <r>
    <s v="TX502286"/>
    <x v="18"/>
    <x v="13"/>
    <n v="81.2"/>
    <n v="487.20000000000005"/>
    <d v="2025-03-26T00:00:00"/>
    <d v="2025-03-28T00:00:00"/>
    <s v="M"/>
    <x v="2"/>
    <n v="5"/>
    <x v="0"/>
    <x v="8"/>
    <x v="1"/>
    <x v="12"/>
    <x v="1"/>
  </r>
  <r>
    <s v="TX502287"/>
    <x v="1"/>
    <x v="21"/>
    <n v="35.700000000000003"/>
    <n v="499.80000000000007"/>
    <d v="2025-03-26T00:00:00"/>
    <d v="2025-03-27T00:00:00"/>
    <s v="M"/>
    <x v="3"/>
    <n v="4"/>
    <x v="0"/>
    <x v="8"/>
    <x v="3"/>
    <x v="12"/>
    <x v="1"/>
  </r>
  <r>
    <s v="TX502288"/>
    <x v="7"/>
    <x v="1"/>
    <n v="44.5"/>
    <n v="89"/>
    <d v="2025-03-26T00:00:00"/>
    <d v="2025-03-29T00:00:00"/>
    <s v="M"/>
    <x v="4"/>
    <n v="4"/>
    <x v="0"/>
    <x v="9"/>
    <x v="2"/>
    <x v="12"/>
    <x v="1"/>
  </r>
  <r>
    <s v="TX502289"/>
    <x v="1"/>
    <x v="9"/>
    <n v="32"/>
    <n v="160"/>
    <d v="2025-03-26T00:00:00"/>
    <d v="2025-03-28T00:00:00"/>
    <s v="O"/>
    <x v="1"/>
    <n v="3"/>
    <x v="0"/>
    <x v="9"/>
    <x v="1"/>
    <x v="12"/>
    <x v="3"/>
  </r>
  <r>
    <s v="TX502290"/>
    <x v="8"/>
    <x v="0"/>
    <n v="25.7"/>
    <n v="25.7"/>
    <d v="2025-03-26T00:00:00"/>
    <d v="2025-03-27T00:00:00"/>
    <s v="M"/>
    <x v="0"/>
    <n v="4"/>
    <x v="0"/>
    <x v="10"/>
    <x v="3"/>
    <x v="12"/>
    <x v="1"/>
  </r>
  <r>
    <s v="TX502291"/>
    <x v="16"/>
    <x v="2"/>
    <n v="65.599999999999994"/>
    <n v="196.79999999999998"/>
    <d v="2025-03-26T00:00:00"/>
    <d v="2025-04-01T00:00:00"/>
    <s v="M"/>
    <x v="0"/>
    <n v="4"/>
    <x v="0"/>
    <x v="11"/>
    <x v="4"/>
    <x v="12"/>
    <x v="1"/>
  </r>
  <r>
    <s v="TX502292"/>
    <x v="1"/>
    <x v="12"/>
    <n v="52.1"/>
    <n v="208.4"/>
    <d v="2025-03-26T00:00:00"/>
    <d v="2025-03-27T00:00:00"/>
    <s v="F"/>
    <x v="0"/>
    <n v="5"/>
    <x v="0"/>
    <x v="11"/>
    <x v="3"/>
    <x v="12"/>
    <x v="2"/>
  </r>
  <r>
    <s v="TX502293"/>
    <x v="8"/>
    <x v="0"/>
    <n v="31"/>
    <n v="31"/>
    <d v="2025-03-26T00:00:00"/>
    <d v="2025-03-27T00:00:00"/>
    <s v="M"/>
    <x v="0"/>
    <n v="3"/>
    <x v="0"/>
    <x v="19"/>
    <x v="3"/>
    <x v="12"/>
    <x v="1"/>
  </r>
  <r>
    <s v="TX502294"/>
    <x v="8"/>
    <x v="0"/>
    <n v="32"/>
    <n v="32"/>
    <d v="2025-03-26T00:00:00"/>
    <d v="2025-03-28T00:00:00"/>
    <s v="O"/>
    <x v="3"/>
    <n v="3"/>
    <x v="0"/>
    <x v="31"/>
    <x v="1"/>
    <x v="12"/>
    <x v="3"/>
  </r>
  <r>
    <s v="TX502295"/>
    <x v="16"/>
    <x v="12"/>
    <n v="58.3"/>
    <n v="233.2"/>
    <d v="2025-03-26T00:00:00"/>
    <d v="2025-03-30T00:00:00"/>
    <s v="M"/>
    <x v="1"/>
    <n v="2"/>
    <x v="0"/>
    <x v="20"/>
    <x v="5"/>
    <x v="12"/>
    <x v="1"/>
  </r>
  <r>
    <s v="TX502296"/>
    <x v="8"/>
    <x v="2"/>
    <n v="31"/>
    <n v="93"/>
    <d v="2025-03-26T00:00:00"/>
    <d v="2025-03-28T00:00:00"/>
    <s v="F"/>
    <x v="2"/>
    <n v="2"/>
    <x v="0"/>
    <x v="13"/>
    <x v="1"/>
    <x v="12"/>
    <x v="2"/>
  </r>
  <r>
    <s v="TX502297"/>
    <x v="3"/>
    <x v="0"/>
    <n v="40.299999999999997"/>
    <n v="40.299999999999997"/>
    <d v="2025-03-26T00:00:00"/>
    <d v="2025-03-27T00:00:00"/>
    <s v="M"/>
    <x v="1"/>
    <n v="5"/>
    <x v="0"/>
    <x v="54"/>
    <x v="3"/>
    <x v="12"/>
    <x v="1"/>
  </r>
  <r>
    <s v="TX502298"/>
    <x v="6"/>
    <x v="2"/>
    <n v="47.3"/>
    <n v="141.89999999999998"/>
    <d v="2025-03-26T00:00:00"/>
    <d v="2025-03-28T00:00:00"/>
    <s v="M"/>
    <x v="4"/>
    <n v="5"/>
    <x v="0"/>
    <x v="2"/>
    <x v="1"/>
    <x v="12"/>
    <x v="1"/>
  </r>
  <r>
    <s v="TX502299"/>
    <x v="2"/>
    <x v="0"/>
    <n v="82.8"/>
    <n v="82.8"/>
    <d v="2025-03-26T00:00:00"/>
    <d v="2025-03-27T00:00:00"/>
    <s v="M"/>
    <x v="0"/>
    <n v="4"/>
    <x v="0"/>
    <x v="2"/>
    <x v="3"/>
    <x v="12"/>
    <x v="1"/>
  </r>
  <r>
    <s v="TX502300"/>
    <x v="8"/>
    <x v="0"/>
    <n v="18.5"/>
    <n v="18.5"/>
    <d v="2025-03-26T00:00:00"/>
    <d v="2025-04-09T00:00:00"/>
    <s v="F"/>
    <x v="0"/>
    <n v="4"/>
    <x v="0"/>
    <x v="44"/>
    <x v="12"/>
    <x v="12"/>
    <x v="2"/>
  </r>
  <r>
    <s v="TX502301"/>
    <x v="3"/>
    <x v="1"/>
    <n v="60.4"/>
    <n v="120.8"/>
    <d v="2025-03-26T00:00:00"/>
    <d v="2025-03-27T00:00:00"/>
    <s v="M"/>
    <x v="2"/>
    <n v="4"/>
    <x v="0"/>
    <x v="22"/>
    <x v="3"/>
    <x v="12"/>
    <x v="1"/>
  </r>
  <r>
    <s v="TX502302"/>
    <x v="6"/>
    <x v="9"/>
    <n v="80.2"/>
    <n v="401"/>
    <d v="2025-03-26T00:00:00"/>
    <d v="2025-04-02T00:00:00"/>
    <s v="M"/>
    <x v="1"/>
    <n v="3"/>
    <x v="0"/>
    <x v="50"/>
    <x v="6"/>
    <x v="12"/>
    <x v="1"/>
  </r>
  <r>
    <s v="TX502303"/>
    <x v="4"/>
    <x v="0"/>
    <n v="41.5"/>
    <n v="41.5"/>
    <d v="2025-03-26T00:00:00"/>
    <d v="2025-03-28T00:00:00"/>
    <s v="M"/>
    <x v="2"/>
    <n v="4"/>
    <x v="0"/>
    <x v="3"/>
    <x v="1"/>
    <x v="12"/>
    <x v="1"/>
  </r>
  <r>
    <s v="TX502304"/>
    <x v="2"/>
    <x v="1"/>
    <n v="83.9"/>
    <n v="167.8"/>
    <d v="2025-03-26T00:00:00"/>
    <d v="2025-03-29T00:00:00"/>
    <s v="F"/>
    <x v="0"/>
    <n v="4"/>
    <x v="0"/>
    <x v="3"/>
    <x v="2"/>
    <x v="12"/>
    <x v="2"/>
  </r>
  <r>
    <s v="TX502305"/>
    <x v="8"/>
    <x v="1"/>
    <n v="16.7"/>
    <n v="33.4"/>
    <d v="2025-03-26T00:00:00"/>
    <d v="2025-03-30T00:00:00"/>
    <s v="F"/>
    <x v="0"/>
    <n v="3"/>
    <x v="0"/>
    <x v="3"/>
    <x v="5"/>
    <x v="12"/>
    <x v="2"/>
  </r>
  <r>
    <s v="TX502306"/>
    <x v="9"/>
    <x v="1"/>
    <n v="72.900000000000006"/>
    <n v="145.80000000000001"/>
    <d v="2025-03-26T00:00:00"/>
    <d v="2025-03-27T00:00:00"/>
    <s v="M"/>
    <x v="2"/>
    <n v="3"/>
    <x v="0"/>
    <x v="3"/>
    <x v="3"/>
    <x v="12"/>
    <x v="1"/>
  </r>
  <r>
    <s v="TX502307"/>
    <x v="5"/>
    <x v="1"/>
    <n v="50.2"/>
    <n v="100.4"/>
    <d v="2025-03-26T00:00:00"/>
    <d v="2025-03-28T00:00:00"/>
    <s v="F"/>
    <x v="1"/>
    <n v="5"/>
    <x v="0"/>
    <x v="3"/>
    <x v="1"/>
    <x v="12"/>
    <x v="2"/>
  </r>
  <r>
    <s v="TX502308"/>
    <x v="3"/>
    <x v="1"/>
    <n v="34.200000000000003"/>
    <n v="68.400000000000006"/>
    <d v="2025-03-26T00:00:00"/>
    <d v="2025-04-05T00:00:00"/>
    <s v=""/>
    <x v="1"/>
    <n v="4"/>
    <x v="0"/>
    <x v="3"/>
    <x v="14"/>
    <x v="12"/>
    <x v="0"/>
  </r>
  <r>
    <s v="TX502309"/>
    <x v="5"/>
    <x v="1"/>
    <n v="107.9"/>
    <n v="215.8"/>
    <d v="2025-03-26T00:00:00"/>
    <d v="2025-03-26T00:00:00"/>
    <s v="M"/>
    <x v="1"/>
    <n v="2"/>
    <x v="0"/>
    <x v="3"/>
    <x v="7"/>
    <x v="12"/>
    <x v="1"/>
  </r>
  <r>
    <s v="TX502310"/>
    <x v="0"/>
    <x v="2"/>
    <n v="17.5"/>
    <n v="52.5"/>
    <d v="2025-03-26T00:00:00"/>
    <d v="2025-03-28T00:00:00"/>
    <s v="M"/>
    <x v="4"/>
    <n v="4"/>
    <x v="0"/>
    <x v="3"/>
    <x v="1"/>
    <x v="12"/>
    <x v="1"/>
  </r>
  <r>
    <s v="TX502311"/>
    <x v="13"/>
    <x v="20"/>
    <n v="44.7"/>
    <n v="670.5"/>
    <d v="2025-03-26T00:00:00"/>
    <d v="2025-03-27T00:00:00"/>
    <s v="M"/>
    <x v="0"/>
    <n v="3"/>
    <x v="0"/>
    <x v="3"/>
    <x v="3"/>
    <x v="12"/>
    <x v="1"/>
  </r>
  <r>
    <s v="TX502312"/>
    <x v="12"/>
    <x v="13"/>
    <n v="92.7"/>
    <n v="556.20000000000005"/>
    <d v="2025-03-26T00:00:00"/>
    <d v="2025-03-28T00:00:00"/>
    <s v="F"/>
    <x v="2"/>
    <n v="3"/>
    <x v="0"/>
    <x v="3"/>
    <x v="1"/>
    <x v="12"/>
    <x v="2"/>
  </r>
  <r>
    <s v="TX502313"/>
    <x v="7"/>
    <x v="2"/>
    <n v="48.8"/>
    <n v="146.39999999999998"/>
    <d v="2025-03-26T00:00:00"/>
    <d v="2025-03-28T00:00:00"/>
    <s v="F"/>
    <x v="2"/>
    <n v="4"/>
    <x v="0"/>
    <x v="3"/>
    <x v="1"/>
    <x v="12"/>
    <x v="2"/>
  </r>
  <r>
    <s v="TX502314"/>
    <x v="4"/>
    <x v="27"/>
    <n v="21.3"/>
    <n v="340.8"/>
    <d v="2025-03-26T00:00:00"/>
    <d v="2025-03-30T00:00:00"/>
    <s v="F"/>
    <x v="3"/>
    <n v="1"/>
    <x v="0"/>
    <x v="3"/>
    <x v="5"/>
    <x v="12"/>
    <x v="2"/>
  </r>
  <r>
    <s v="TX502315"/>
    <x v="16"/>
    <x v="0"/>
    <n v="52.5"/>
    <n v="52.5"/>
    <d v="2025-03-26T00:00:00"/>
    <d v="2025-03-27T00:00:00"/>
    <s v="F"/>
    <x v="0"/>
    <n v="4"/>
    <x v="0"/>
    <x v="3"/>
    <x v="3"/>
    <x v="12"/>
    <x v="2"/>
  </r>
  <r>
    <s v="TX502316"/>
    <x v="1"/>
    <x v="1"/>
    <n v="92.4"/>
    <n v="184.8"/>
    <d v="2025-03-26T00:00:00"/>
    <d v="2025-04-01T00:00:00"/>
    <s v="F"/>
    <x v="0"/>
    <n v="5"/>
    <x v="0"/>
    <x v="3"/>
    <x v="4"/>
    <x v="12"/>
    <x v="2"/>
  </r>
  <r>
    <s v="TX502317"/>
    <x v="4"/>
    <x v="5"/>
    <n v="58.3"/>
    <n v="641.29999999999995"/>
    <d v="2025-03-26T00:00:00"/>
    <d v="2025-03-28T00:00:00"/>
    <s v="M"/>
    <x v="1"/>
    <n v="5"/>
    <x v="0"/>
    <x v="3"/>
    <x v="1"/>
    <x v="12"/>
    <x v="1"/>
  </r>
  <r>
    <s v="TX502318"/>
    <x v="6"/>
    <x v="44"/>
    <n v="152.6"/>
    <n v="3509.7999999999997"/>
    <d v="2025-03-27T00:00:00"/>
    <d v="2025-03-29T00:00:00"/>
    <s v=""/>
    <x v="0"/>
    <n v="4"/>
    <x v="0"/>
    <x v="3"/>
    <x v="1"/>
    <x v="12"/>
    <x v="0"/>
  </r>
  <r>
    <s v="TX502319"/>
    <x v="8"/>
    <x v="1"/>
    <n v="26"/>
    <n v="52"/>
    <d v="2025-03-27T00:00:00"/>
    <d v="2025-03-27T00:00:00"/>
    <s v=""/>
    <x v="0"/>
    <n v="3"/>
    <x v="0"/>
    <x v="3"/>
    <x v="7"/>
    <x v="12"/>
    <x v="0"/>
  </r>
  <r>
    <s v="TX502320"/>
    <x v="1"/>
    <x v="12"/>
    <n v="33.1"/>
    <n v="132.4"/>
    <d v="2025-03-27T00:00:00"/>
    <d v="2025-03-27T00:00:00"/>
    <s v="M"/>
    <x v="2"/>
    <n v="2"/>
    <x v="0"/>
    <x v="5"/>
    <x v="7"/>
    <x v="12"/>
    <x v="1"/>
  </r>
  <r>
    <s v="TX502321"/>
    <x v="18"/>
    <x v="0"/>
    <n v="51.4"/>
    <n v="51.4"/>
    <d v="2025-03-27T00:00:00"/>
    <d v="2025-03-29T00:00:00"/>
    <s v="F"/>
    <x v="1"/>
    <n v="3"/>
    <x v="0"/>
    <x v="5"/>
    <x v="1"/>
    <x v="12"/>
    <x v="2"/>
  </r>
  <r>
    <s v="TX502322"/>
    <x v="8"/>
    <x v="1"/>
    <n v="30.2"/>
    <n v="60.4"/>
    <d v="2025-03-27T00:00:00"/>
    <d v="2025-03-28T00:00:00"/>
    <s v="F"/>
    <x v="2"/>
    <n v="5"/>
    <x v="0"/>
    <x v="6"/>
    <x v="3"/>
    <x v="12"/>
    <x v="2"/>
  </r>
  <r>
    <s v="TX502323"/>
    <x v="2"/>
    <x v="13"/>
    <n v="97"/>
    <n v="582"/>
    <d v="2025-03-27T00:00:00"/>
    <d v="2025-03-31T00:00:00"/>
    <s v="F"/>
    <x v="0"/>
    <n v="5"/>
    <x v="0"/>
    <x v="7"/>
    <x v="5"/>
    <x v="12"/>
    <x v="2"/>
  </r>
  <r>
    <s v="TX502324"/>
    <x v="2"/>
    <x v="0"/>
    <n v="76.900000000000006"/>
    <n v="76.900000000000006"/>
    <d v="2025-03-27T00:00:00"/>
    <d v="2025-03-28T00:00:00"/>
    <s v="M"/>
    <x v="1"/>
    <n v="5"/>
    <x v="0"/>
    <x v="8"/>
    <x v="3"/>
    <x v="12"/>
    <x v="1"/>
  </r>
  <r>
    <s v="TX502325"/>
    <x v="7"/>
    <x v="13"/>
    <n v="36.1"/>
    <n v="216.60000000000002"/>
    <d v="2025-03-27T00:00:00"/>
    <d v="2025-03-31T00:00:00"/>
    <s v="F"/>
    <x v="0"/>
    <n v="4"/>
    <x v="0"/>
    <x v="8"/>
    <x v="5"/>
    <x v="12"/>
    <x v="2"/>
  </r>
  <r>
    <s v="TX502326"/>
    <x v="1"/>
    <x v="3"/>
    <n v="34.4"/>
    <n v="240.79999999999998"/>
    <d v="2025-03-27T00:00:00"/>
    <d v="2025-03-27T00:00:00"/>
    <s v="F"/>
    <x v="2"/>
    <n v="3"/>
    <x v="0"/>
    <x v="11"/>
    <x v="7"/>
    <x v="12"/>
    <x v="2"/>
  </r>
  <r>
    <s v="TX502327"/>
    <x v="1"/>
    <x v="31"/>
    <n v="53.4"/>
    <n v="1495.2"/>
    <d v="2025-03-27T00:00:00"/>
    <d v="2025-03-29T00:00:00"/>
    <s v="F"/>
    <x v="1"/>
    <n v="4"/>
    <x v="0"/>
    <x v="18"/>
    <x v="1"/>
    <x v="12"/>
    <x v="2"/>
  </r>
  <r>
    <s v="TX502328"/>
    <x v="2"/>
    <x v="0"/>
    <n v="77.599999999999994"/>
    <n v="77.599999999999994"/>
    <d v="2025-03-27T00:00:00"/>
    <d v="2025-03-28T00:00:00"/>
    <s v="F"/>
    <x v="0"/>
    <n v="3"/>
    <x v="0"/>
    <x v="19"/>
    <x v="3"/>
    <x v="12"/>
    <x v="2"/>
  </r>
  <r>
    <s v="TX502329"/>
    <x v="1"/>
    <x v="2"/>
    <n v="71.7"/>
    <n v="215.10000000000002"/>
    <d v="2025-03-27T00:00:00"/>
    <d v="2025-03-30T00:00:00"/>
    <s v="F"/>
    <x v="1"/>
    <n v="4"/>
    <x v="0"/>
    <x v="19"/>
    <x v="2"/>
    <x v="12"/>
    <x v="2"/>
  </r>
  <r>
    <s v="TX502330"/>
    <x v="3"/>
    <x v="2"/>
    <n v="80.599999999999994"/>
    <n v="241.79999999999998"/>
    <d v="2025-03-27T00:00:00"/>
    <d v="2025-03-28T00:00:00"/>
    <s v="M"/>
    <x v="4"/>
    <n v="3"/>
    <x v="0"/>
    <x v="19"/>
    <x v="3"/>
    <x v="12"/>
    <x v="1"/>
  </r>
  <r>
    <s v="TX502331"/>
    <x v="1"/>
    <x v="20"/>
    <n v="70"/>
    <n v="1050"/>
    <d v="2025-03-27T00:00:00"/>
    <d v="2025-03-29T00:00:00"/>
    <s v="M"/>
    <x v="0"/>
    <n v="4"/>
    <x v="0"/>
    <x v="20"/>
    <x v="1"/>
    <x v="12"/>
    <x v="1"/>
  </r>
  <r>
    <s v="TX502332"/>
    <x v="4"/>
    <x v="13"/>
    <n v="27.3"/>
    <n v="163.80000000000001"/>
    <d v="2025-03-27T00:00:00"/>
    <d v="2025-03-29T00:00:00"/>
    <s v="F"/>
    <x v="1"/>
    <n v="3"/>
    <x v="0"/>
    <x v="2"/>
    <x v="1"/>
    <x v="12"/>
    <x v="2"/>
  </r>
  <r>
    <s v="TX502333"/>
    <x v="8"/>
    <x v="21"/>
    <n v="37.6"/>
    <n v="526.4"/>
    <d v="2025-03-27T00:00:00"/>
    <d v="2025-03-29T00:00:00"/>
    <s v="M"/>
    <x v="1"/>
    <n v="4"/>
    <x v="0"/>
    <x v="3"/>
    <x v="1"/>
    <x v="12"/>
    <x v="1"/>
  </r>
  <r>
    <s v="TX502334"/>
    <x v="5"/>
    <x v="2"/>
    <n v="36.6"/>
    <n v="109.80000000000001"/>
    <d v="2025-03-27T00:00:00"/>
    <d v="2025-03-29T00:00:00"/>
    <s v="F"/>
    <x v="4"/>
    <n v="4"/>
    <x v="0"/>
    <x v="3"/>
    <x v="1"/>
    <x v="12"/>
    <x v="2"/>
  </r>
  <r>
    <s v="TX502335"/>
    <x v="13"/>
    <x v="0"/>
    <n v="55.2"/>
    <n v="55.2"/>
    <d v="2025-03-27T00:00:00"/>
    <d v="2025-03-29T00:00:00"/>
    <s v="M"/>
    <x v="3"/>
    <n v="4"/>
    <x v="0"/>
    <x v="3"/>
    <x v="1"/>
    <x v="12"/>
    <x v="1"/>
  </r>
  <r>
    <s v="TX502336"/>
    <x v="6"/>
    <x v="9"/>
    <n v="59.9"/>
    <n v="299.5"/>
    <d v="2025-03-27T00:00:00"/>
    <d v="2025-03-29T00:00:00"/>
    <s v="M"/>
    <x v="0"/>
    <n v="4"/>
    <x v="0"/>
    <x v="3"/>
    <x v="1"/>
    <x v="12"/>
    <x v="1"/>
  </r>
  <r>
    <s v="TX502337"/>
    <x v="6"/>
    <x v="0"/>
    <n v="44"/>
    <n v="44"/>
    <d v="2025-03-27T00:00:00"/>
    <d v="2025-03-28T00:00:00"/>
    <s v="F"/>
    <x v="2"/>
    <n v="5"/>
    <x v="0"/>
    <x v="3"/>
    <x v="3"/>
    <x v="12"/>
    <x v="2"/>
  </r>
  <r>
    <s v="TX502338"/>
    <x v="9"/>
    <x v="1"/>
    <n v="68.7"/>
    <n v="137.4"/>
    <d v="2025-03-27T00:00:00"/>
    <d v="2025-03-27T00:00:00"/>
    <s v="M"/>
    <x v="0"/>
    <n v="4"/>
    <x v="0"/>
    <x v="3"/>
    <x v="7"/>
    <x v="12"/>
    <x v="1"/>
  </r>
  <r>
    <s v="TX502339"/>
    <x v="5"/>
    <x v="1"/>
    <n v="61.6"/>
    <n v="123.2"/>
    <d v="2025-03-27T00:00:00"/>
    <d v="2025-03-31T00:00:00"/>
    <s v="M"/>
    <x v="3"/>
    <n v="3"/>
    <x v="0"/>
    <x v="3"/>
    <x v="5"/>
    <x v="12"/>
    <x v="1"/>
  </r>
  <r>
    <s v="TX502340"/>
    <x v="7"/>
    <x v="3"/>
    <n v="51.8"/>
    <n v="362.59999999999997"/>
    <d v="2025-03-27T00:00:00"/>
    <d v="2025-03-28T00:00:00"/>
    <s v="M"/>
    <x v="0"/>
    <n v="4"/>
    <x v="0"/>
    <x v="3"/>
    <x v="3"/>
    <x v="12"/>
    <x v="1"/>
  </r>
  <r>
    <s v="TX502341"/>
    <x v="8"/>
    <x v="7"/>
    <n v="46.2"/>
    <n v="462"/>
    <d v="2025-03-27T00:00:00"/>
    <d v="2025-03-29T00:00:00"/>
    <s v="M"/>
    <x v="1"/>
    <n v="5"/>
    <x v="0"/>
    <x v="3"/>
    <x v="1"/>
    <x v="12"/>
    <x v="1"/>
  </r>
  <r>
    <s v="TX502342"/>
    <x v="0"/>
    <x v="1"/>
    <n v="19.399999999999999"/>
    <n v="38.799999999999997"/>
    <d v="2025-03-27T00:00:00"/>
    <d v="2025-03-29T00:00:00"/>
    <s v="F"/>
    <x v="1"/>
    <n v="5"/>
    <x v="0"/>
    <x v="6"/>
    <x v="1"/>
    <x v="12"/>
    <x v="2"/>
  </r>
  <r>
    <s v="TX502343"/>
    <x v="11"/>
    <x v="2"/>
    <n v="52.1"/>
    <n v="156.30000000000001"/>
    <d v="2025-03-27T00:00:00"/>
    <d v="2025-03-30T00:00:00"/>
    <s v="M"/>
    <x v="3"/>
    <n v="1"/>
    <x v="0"/>
    <x v="6"/>
    <x v="2"/>
    <x v="12"/>
    <x v="1"/>
  </r>
  <r>
    <s v="TX502344"/>
    <x v="6"/>
    <x v="0"/>
    <n v="74.900000000000006"/>
    <n v="74.900000000000006"/>
    <d v="2025-03-27T00:00:00"/>
    <d v="2025-03-29T00:00:00"/>
    <s v="O"/>
    <x v="0"/>
    <n v="4"/>
    <x v="0"/>
    <x v="7"/>
    <x v="1"/>
    <x v="12"/>
    <x v="3"/>
  </r>
  <r>
    <s v="TX502345"/>
    <x v="9"/>
    <x v="3"/>
    <n v="49.6"/>
    <n v="347.2"/>
    <d v="2025-03-27T00:00:00"/>
    <d v="2025-03-30T00:00:00"/>
    <s v="F"/>
    <x v="4"/>
    <n v="4"/>
    <x v="0"/>
    <x v="8"/>
    <x v="2"/>
    <x v="12"/>
    <x v="2"/>
  </r>
  <r>
    <s v="TX502346"/>
    <x v="16"/>
    <x v="12"/>
    <n v="82.8"/>
    <n v="331.2"/>
    <d v="2025-03-28T00:00:00"/>
    <d v="2025-03-31T00:00:00"/>
    <s v="F"/>
    <x v="4"/>
    <n v="4"/>
    <x v="0"/>
    <x v="8"/>
    <x v="2"/>
    <x v="12"/>
    <x v="2"/>
  </r>
  <r>
    <s v="TX502347"/>
    <x v="2"/>
    <x v="0"/>
    <n v="97.7"/>
    <n v="97.7"/>
    <d v="2025-03-28T00:00:00"/>
    <d v="2025-03-29T00:00:00"/>
    <s v="F"/>
    <x v="1"/>
    <n v="4"/>
    <x v="0"/>
    <x v="8"/>
    <x v="3"/>
    <x v="12"/>
    <x v="2"/>
  </r>
  <r>
    <s v="TX502348"/>
    <x v="6"/>
    <x v="9"/>
    <n v="83.6"/>
    <n v="418"/>
    <d v="2025-03-28T00:00:00"/>
    <d v="2025-03-29T00:00:00"/>
    <s v="F"/>
    <x v="4"/>
    <n v="4"/>
    <x v="0"/>
    <x v="8"/>
    <x v="3"/>
    <x v="12"/>
    <x v="2"/>
  </r>
  <r>
    <s v="TX502349"/>
    <x v="8"/>
    <x v="9"/>
    <n v="23.5"/>
    <n v="117.5"/>
    <d v="2025-03-28T00:00:00"/>
    <d v="2025-04-01T00:00:00"/>
    <s v="O"/>
    <x v="0"/>
    <n v="4"/>
    <x v="0"/>
    <x v="8"/>
    <x v="5"/>
    <x v="12"/>
    <x v="3"/>
  </r>
  <r>
    <s v="TX502350"/>
    <x v="9"/>
    <x v="2"/>
    <n v="44.6"/>
    <n v="133.80000000000001"/>
    <d v="2025-03-28T00:00:00"/>
    <d v="2025-03-31T00:00:00"/>
    <s v="F"/>
    <x v="4"/>
    <n v="3"/>
    <x v="0"/>
    <x v="26"/>
    <x v="2"/>
    <x v="12"/>
    <x v="2"/>
  </r>
  <r>
    <s v="TX502351"/>
    <x v="0"/>
    <x v="2"/>
    <n v="20.100000000000001"/>
    <n v="60.300000000000004"/>
    <d v="2025-03-28T00:00:00"/>
    <d v="2025-03-30T00:00:00"/>
    <s v="F"/>
    <x v="3"/>
    <n v="2"/>
    <x v="0"/>
    <x v="11"/>
    <x v="1"/>
    <x v="12"/>
    <x v="2"/>
  </r>
  <r>
    <s v="TX502352"/>
    <x v="2"/>
    <x v="9"/>
    <n v="153.6"/>
    <n v="768"/>
    <d v="2025-03-28T00:00:00"/>
    <d v="2025-03-29T00:00:00"/>
    <s v="F"/>
    <x v="1"/>
    <n v="5"/>
    <x v="0"/>
    <x v="53"/>
    <x v="3"/>
    <x v="12"/>
    <x v="2"/>
  </r>
  <r>
    <s v="TX502353"/>
    <x v="1"/>
    <x v="1"/>
    <n v="71.8"/>
    <n v="143.6"/>
    <d v="2025-03-28T00:00:00"/>
    <d v="2025-04-01T00:00:00"/>
    <s v="F"/>
    <x v="1"/>
    <n v="4"/>
    <x v="0"/>
    <x v="1"/>
    <x v="5"/>
    <x v="12"/>
    <x v="2"/>
  </r>
  <r>
    <s v="TX502354"/>
    <x v="10"/>
    <x v="0"/>
    <n v="64.7"/>
    <n v="64.7"/>
    <d v="2025-03-28T00:00:00"/>
    <d v="2025-03-30T00:00:00"/>
    <s v=""/>
    <x v="0"/>
    <n v="3"/>
    <x v="0"/>
    <x v="1"/>
    <x v="1"/>
    <x v="12"/>
    <x v="0"/>
  </r>
  <r>
    <s v="TX502355"/>
    <x v="9"/>
    <x v="8"/>
    <n v="60.4"/>
    <n v="483.2"/>
    <d v="2025-03-28T00:00:00"/>
    <d v="2025-03-30T00:00:00"/>
    <s v="F"/>
    <x v="3"/>
    <n v="5"/>
    <x v="0"/>
    <x v="2"/>
    <x v="1"/>
    <x v="12"/>
    <x v="2"/>
  </r>
  <r>
    <s v="TX502356"/>
    <x v="6"/>
    <x v="12"/>
    <n v="86"/>
    <n v="344"/>
    <d v="2025-03-28T00:00:00"/>
    <d v="2025-03-31T00:00:00"/>
    <s v="F"/>
    <x v="2"/>
    <n v="5"/>
    <x v="0"/>
    <x v="22"/>
    <x v="2"/>
    <x v="12"/>
    <x v="2"/>
  </r>
  <r>
    <s v="TX502357"/>
    <x v="12"/>
    <x v="1"/>
    <n v="42.1"/>
    <n v="84.2"/>
    <d v="2025-03-28T00:00:00"/>
    <d v="2025-03-29T00:00:00"/>
    <s v="F"/>
    <x v="4"/>
    <n v="3"/>
    <x v="0"/>
    <x v="34"/>
    <x v="3"/>
    <x v="12"/>
    <x v="2"/>
  </r>
  <r>
    <s v="TX502358"/>
    <x v="16"/>
    <x v="11"/>
    <n v="51.1"/>
    <n v="459.90000000000003"/>
    <d v="2025-03-28T00:00:00"/>
    <d v="2025-03-29T00:00:00"/>
    <s v="M"/>
    <x v="2"/>
    <n v="3"/>
    <x v="0"/>
    <x v="3"/>
    <x v="3"/>
    <x v="12"/>
    <x v="1"/>
  </r>
  <r>
    <s v="TX502359"/>
    <x v="9"/>
    <x v="12"/>
    <n v="73.8"/>
    <n v="295.2"/>
    <d v="2025-03-28T00:00:00"/>
    <d v="2025-03-29T00:00:00"/>
    <s v="M"/>
    <x v="4"/>
    <n v="4"/>
    <x v="0"/>
    <x v="3"/>
    <x v="3"/>
    <x v="12"/>
    <x v="1"/>
  </r>
  <r>
    <s v="TX502360"/>
    <x v="8"/>
    <x v="9"/>
    <n v="27"/>
    <n v="135"/>
    <d v="2025-03-28T00:00:00"/>
    <d v="2025-03-31T00:00:00"/>
    <s v="F"/>
    <x v="2"/>
    <n v="5"/>
    <x v="0"/>
    <x v="3"/>
    <x v="2"/>
    <x v="12"/>
    <x v="2"/>
  </r>
  <r>
    <s v="TX502361"/>
    <x v="8"/>
    <x v="13"/>
    <n v="60.1"/>
    <n v="360.6"/>
    <d v="2025-03-28T00:00:00"/>
    <d v="2025-03-29T00:00:00"/>
    <s v="M"/>
    <x v="3"/>
    <n v="4"/>
    <x v="0"/>
    <x v="3"/>
    <x v="3"/>
    <x v="12"/>
    <x v="1"/>
  </r>
  <r>
    <s v="TX502362"/>
    <x v="2"/>
    <x v="3"/>
    <n v="94.1"/>
    <n v="658.69999999999993"/>
    <d v="2025-03-28T00:00:00"/>
    <d v="2025-03-30T00:00:00"/>
    <s v="F"/>
    <x v="4"/>
    <n v="3"/>
    <x v="0"/>
    <x v="3"/>
    <x v="1"/>
    <x v="12"/>
    <x v="2"/>
  </r>
  <r>
    <s v="TX502363"/>
    <x v="2"/>
    <x v="1"/>
    <n v="124.1"/>
    <n v="248.2"/>
    <d v="2025-03-28T00:00:00"/>
    <d v="2025-03-28T00:00:00"/>
    <s v="F"/>
    <x v="2"/>
    <n v="1"/>
    <x v="0"/>
    <x v="43"/>
    <x v="7"/>
    <x v="12"/>
    <x v="2"/>
  </r>
  <r>
    <s v="TX502364"/>
    <x v="8"/>
    <x v="12"/>
    <n v="16.899999999999999"/>
    <n v="67.599999999999994"/>
    <d v="2025-03-28T00:00:00"/>
    <d v="2025-03-31T00:00:00"/>
    <s v="M"/>
    <x v="3"/>
    <n v="4"/>
    <x v="0"/>
    <x v="6"/>
    <x v="2"/>
    <x v="12"/>
    <x v="1"/>
  </r>
  <r>
    <s v="TX502365"/>
    <x v="1"/>
    <x v="0"/>
    <n v="36.9"/>
    <n v="36.9"/>
    <d v="2025-03-28T00:00:00"/>
    <d v="2025-03-29T00:00:00"/>
    <s v="M"/>
    <x v="0"/>
    <n v="4"/>
    <x v="0"/>
    <x v="6"/>
    <x v="3"/>
    <x v="12"/>
    <x v="1"/>
  </r>
  <r>
    <s v="TX502366"/>
    <x v="9"/>
    <x v="1"/>
    <n v="22.6"/>
    <n v="45.2"/>
    <d v="2025-03-28T00:00:00"/>
    <d v="2025-04-10T00:00:00"/>
    <s v="F"/>
    <x v="2"/>
    <n v="3"/>
    <x v="0"/>
    <x v="8"/>
    <x v="10"/>
    <x v="12"/>
    <x v="2"/>
  </r>
  <r>
    <s v="TX502367"/>
    <x v="7"/>
    <x v="12"/>
    <n v="35"/>
    <n v="140"/>
    <d v="2025-03-28T00:00:00"/>
    <d v="2025-04-02T00:00:00"/>
    <s v="M"/>
    <x v="3"/>
    <n v="3"/>
    <x v="0"/>
    <x v="8"/>
    <x v="0"/>
    <x v="12"/>
    <x v="1"/>
  </r>
  <r>
    <s v="TX502368"/>
    <x v="9"/>
    <x v="13"/>
    <n v="63.6"/>
    <n v="381.6"/>
    <d v="2025-03-28T00:00:00"/>
    <d v="2025-04-04T00:00:00"/>
    <s v=""/>
    <x v="1"/>
    <n v="5"/>
    <x v="0"/>
    <x v="8"/>
    <x v="6"/>
    <x v="12"/>
    <x v="0"/>
  </r>
  <r>
    <s v="TX502369"/>
    <x v="15"/>
    <x v="12"/>
    <n v="78.599999999999994"/>
    <n v="314.39999999999998"/>
    <d v="2025-03-28T00:00:00"/>
    <d v="2025-03-29T00:00:00"/>
    <s v="M"/>
    <x v="4"/>
    <n v="3"/>
    <x v="0"/>
    <x v="8"/>
    <x v="3"/>
    <x v="12"/>
    <x v="1"/>
  </r>
  <r>
    <s v="TX502370"/>
    <x v="3"/>
    <x v="1"/>
    <n v="38.5"/>
    <n v="77"/>
    <d v="2025-03-28T00:00:00"/>
    <d v="2025-03-29T00:00:00"/>
    <s v="M"/>
    <x v="0"/>
    <n v="5"/>
    <x v="0"/>
    <x v="8"/>
    <x v="3"/>
    <x v="12"/>
    <x v="1"/>
  </r>
  <r>
    <s v="TX502371"/>
    <x v="8"/>
    <x v="5"/>
    <n v="71.5"/>
    <n v="786.5"/>
    <d v="2025-03-28T00:00:00"/>
    <d v="2025-03-29T00:00:00"/>
    <s v="F"/>
    <x v="1"/>
    <n v="2"/>
    <x v="0"/>
    <x v="8"/>
    <x v="3"/>
    <x v="12"/>
    <x v="2"/>
  </r>
  <r>
    <s v="TX502372"/>
    <x v="6"/>
    <x v="12"/>
    <n v="121.4"/>
    <n v="485.6"/>
    <d v="2025-03-28T00:00:00"/>
    <d v="2025-04-01T00:00:00"/>
    <s v="M"/>
    <x v="1"/>
    <n v="5"/>
    <x v="0"/>
    <x v="17"/>
    <x v="5"/>
    <x v="12"/>
    <x v="1"/>
  </r>
  <r>
    <s v="TX502373"/>
    <x v="11"/>
    <x v="0"/>
    <n v="40.200000000000003"/>
    <n v="40.200000000000003"/>
    <d v="2025-03-28T00:00:00"/>
    <d v="2025-03-31T00:00:00"/>
    <s v="F"/>
    <x v="0"/>
    <n v="5"/>
    <x v="0"/>
    <x v="11"/>
    <x v="2"/>
    <x v="12"/>
    <x v="2"/>
  </r>
  <r>
    <s v="TX502374"/>
    <x v="5"/>
    <x v="9"/>
    <n v="31.9"/>
    <n v="159.5"/>
    <d v="2025-03-28T00:00:00"/>
    <d v="2025-03-30T00:00:00"/>
    <s v="F"/>
    <x v="2"/>
    <n v="5"/>
    <x v="0"/>
    <x v="28"/>
    <x v="1"/>
    <x v="12"/>
    <x v="2"/>
  </r>
  <r>
    <s v="TX502375"/>
    <x v="14"/>
    <x v="9"/>
    <n v="15.8"/>
    <n v="79"/>
    <d v="2025-03-29T00:00:00"/>
    <d v="2025-03-30T00:00:00"/>
    <s v="M"/>
    <x v="3"/>
    <n v="5"/>
    <x v="0"/>
    <x v="21"/>
    <x v="3"/>
    <x v="12"/>
    <x v="1"/>
  </r>
  <r>
    <s v="TX502376"/>
    <x v="10"/>
    <x v="1"/>
    <n v="25.1"/>
    <n v="50.2"/>
    <d v="2025-03-29T00:00:00"/>
    <d v="2025-03-31T00:00:00"/>
    <s v=""/>
    <x v="1"/>
    <n v="4"/>
    <x v="0"/>
    <x v="21"/>
    <x v="1"/>
    <x v="12"/>
    <x v="0"/>
  </r>
  <r>
    <s v="TX502377"/>
    <x v="1"/>
    <x v="44"/>
    <n v="38.1"/>
    <n v="876.30000000000007"/>
    <d v="2025-03-29T00:00:00"/>
    <d v="2025-03-30T00:00:00"/>
    <s v="F"/>
    <x v="4"/>
    <n v="4"/>
    <x v="0"/>
    <x v="1"/>
    <x v="3"/>
    <x v="12"/>
    <x v="2"/>
  </r>
  <r>
    <s v="TX502378"/>
    <x v="3"/>
    <x v="1"/>
    <n v="42.2"/>
    <n v="84.4"/>
    <d v="2025-03-29T00:00:00"/>
    <d v="2025-03-31T00:00:00"/>
    <s v="F"/>
    <x v="0"/>
    <n v="5"/>
    <x v="0"/>
    <x v="1"/>
    <x v="1"/>
    <x v="12"/>
    <x v="2"/>
  </r>
  <r>
    <s v="TX502379"/>
    <x v="0"/>
    <x v="7"/>
    <n v="12.3"/>
    <n v="123"/>
    <d v="2025-03-29T00:00:00"/>
    <d v="2025-03-30T00:00:00"/>
    <s v="F"/>
    <x v="4"/>
    <n v="4"/>
    <x v="0"/>
    <x v="2"/>
    <x v="3"/>
    <x v="12"/>
    <x v="2"/>
  </r>
  <r>
    <s v="TX502380"/>
    <x v="7"/>
    <x v="0"/>
    <n v="30.2"/>
    <n v="30.2"/>
    <d v="2025-03-29T00:00:00"/>
    <d v="2025-03-31T00:00:00"/>
    <s v="F"/>
    <x v="1"/>
    <n v="5"/>
    <x v="0"/>
    <x v="34"/>
    <x v="1"/>
    <x v="12"/>
    <x v="2"/>
  </r>
  <r>
    <s v="TX502381"/>
    <x v="5"/>
    <x v="2"/>
    <n v="25.3"/>
    <n v="75.900000000000006"/>
    <d v="2025-03-29T00:00:00"/>
    <d v="2025-04-01T00:00:00"/>
    <s v="F"/>
    <x v="2"/>
    <n v="4"/>
    <x v="0"/>
    <x v="3"/>
    <x v="2"/>
    <x v="12"/>
    <x v="2"/>
  </r>
  <r>
    <s v="TX502382"/>
    <x v="8"/>
    <x v="9"/>
    <n v="29.7"/>
    <n v="148.5"/>
    <d v="2025-03-29T00:00:00"/>
    <d v="2025-03-31T00:00:00"/>
    <s v="M"/>
    <x v="3"/>
    <n v="4"/>
    <x v="0"/>
    <x v="3"/>
    <x v="1"/>
    <x v="12"/>
    <x v="1"/>
  </r>
  <r>
    <s v="TX502383"/>
    <x v="9"/>
    <x v="8"/>
    <n v="32.9"/>
    <n v="263.2"/>
    <d v="2025-03-29T00:00:00"/>
    <d v="2025-03-30T00:00:00"/>
    <s v=""/>
    <x v="3"/>
    <n v="5"/>
    <x v="0"/>
    <x v="3"/>
    <x v="3"/>
    <x v="12"/>
    <x v="0"/>
  </r>
  <r>
    <s v="TX502384"/>
    <x v="10"/>
    <x v="1"/>
    <n v="43.6"/>
    <n v="87.2"/>
    <d v="2025-03-29T00:00:00"/>
    <d v="2025-03-30T00:00:00"/>
    <s v="M"/>
    <x v="1"/>
    <n v="5"/>
    <x v="0"/>
    <x v="3"/>
    <x v="3"/>
    <x v="12"/>
    <x v="1"/>
  </r>
  <r>
    <s v="TX502385"/>
    <x v="15"/>
    <x v="12"/>
    <n v="78.400000000000006"/>
    <n v="313.60000000000002"/>
    <d v="2025-03-29T00:00:00"/>
    <d v="2025-03-30T00:00:00"/>
    <s v="M"/>
    <x v="2"/>
    <n v="4"/>
    <x v="0"/>
    <x v="3"/>
    <x v="3"/>
    <x v="12"/>
    <x v="1"/>
  </r>
  <r>
    <s v="TX502386"/>
    <x v="6"/>
    <x v="1"/>
    <n v="56.5"/>
    <n v="113"/>
    <d v="2025-03-29T00:00:00"/>
    <d v="2025-04-02T00:00:00"/>
    <s v="M"/>
    <x v="1"/>
    <n v="3"/>
    <x v="0"/>
    <x v="3"/>
    <x v="5"/>
    <x v="12"/>
    <x v="1"/>
  </r>
  <r>
    <s v="TX502387"/>
    <x v="16"/>
    <x v="0"/>
    <n v="36.700000000000003"/>
    <n v="36.700000000000003"/>
    <d v="2025-03-29T00:00:00"/>
    <d v="2025-03-30T00:00:00"/>
    <s v="F"/>
    <x v="0"/>
    <n v="5"/>
    <x v="0"/>
    <x v="3"/>
    <x v="3"/>
    <x v="12"/>
    <x v="2"/>
  </r>
  <r>
    <s v="TX502388"/>
    <x v="2"/>
    <x v="12"/>
    <n v="103.6"/>
    <n v="414.4"/>
    <d v="2025-03-29T00:00:00"/>
    <d v="2025-04-09T00:00:00"/>
    <s v="M"/>
    <x v="4"/>
    <n v="5"/>
    <x v="0"/>
    <x v="3"/>
    <x v="11"/>
    <x v="12"/>
    <x v="1"/>
  </r>
  <r>
    <s v="TX502389"/>
    <x v="8"/>
    <x v="13"/>
    <n v="16.2"/>
    <n v="97.199999999999989"/>
    <d v="2025-03-29T00:00:00"/>
    <d v="2025-04-02T00:00:00"/>
    <s v="M"/>
    <x v="1"/>
    <n v="5"/>
    <x v="0"/>
    <x v="6"/>
    <x v="5"/>
    <x v="12"/>
    <x v="1"/>
  </r>
  <r>
    <s v="TX502390"/>
    <x v="8"/>
    <x v="1"/>
    <n v="20.2"/>
    <n v="40.4"/>
    <d v="2025-03-29T00:00:00"/>
    <d v="2025-03-30T00:00:00"/>
    <s v="F"/>
    <x v="0"/>
    <n v="4"/>
    <x v="0"/>
    <x v="6"/>
    <x v="3"/>
    <x v="12"/>
    <x v="2"/>
  </r>
  <r>
    <s v="TX502391"/>
    <x v="11"/>
    <x v="1"/>
    <n v="26.9"/>
    <n v="53.8"/>
    <d v="2025-03-29T00:00:00"/>
    <d v="2025-03-31T00:00:00"/>
    <s v="F"/>
    <x v="2"/>
    <n v="4"/>
    <x v="0"/>
    <x v="6"/>
    <x v="1"/>
    <x v="12"/>
    <x v="2"/>
  </r>
  <r>
    <s v="TX502392"/>
    <x v="1"/>
    <x v="1"/>
    <n v="82.4"/>
    <n v="164.8"/>
    <d v="2025-03-29T00:00:00"/>
    <d v="2025-04-01T00:00:00"/>
    <s v=""/>
    <x v="0"/>
    <n v="4"/>
    <x v="0"/>
    <x v="7"/>
    <x v="2"/>
    <x v="12"/>
    <x v="0"/>
  </r>
  <r>
    <s v="TX502393"/>
    <x v="2"/>
    <x v="1"/>
    <n v="117.8"/>
    <n v="235.6"/>
    <d v="2025-03-29T00:00:00"/>
    <d v="2025-03-31T00:00:00"/>
    <s v="M"/>
    <x v="1"/>
    <n v="5"/>
    <x v="0"/>
    <x v="8"/>
    <x v="1"/>
    <x v="12"/>
    <x v="1"/>
  </r>
  <r>
    <s v="TX502394"/>
    <x v="11"/>
    <x v="12"/>
    <n v="36.700000000000003"/>
    <n v="146.80000000000001"/>
    <d v="2025-03-29T00:00:00"/>
    <d v="2025-03-30T00:00:00"/>
    <s v="M"/>
    <x v="1"/>
    <n v="4"/>
    <x v="0"/>
    <x v="8"/>
    <x v="3"/>
    <x v="12"/>
    <x v="1"/>
  </r>
  <r>
    <s v="TX502395"/>
    <x v="17"/>
    <x v="2"/>
    <n v="46.8"/>
    <n v="140.39999999999998"/>
    <d v="2025-03-29T00:00:00"/>
    <d v="2025-03-30T00:00:00"/>
    <s v="M"/>
    <x v="4"/>
    <n v="5"/>
    <x v="0"/>
    <x v="10"/>
    <x v="3"/>
    <x v="12"/>
    <x v="1"/>
  </r>
  <r>
    <s v="TX502396"/>
    <x v="3"/>
    <x v="0"/>
    <n v="61.4"/>
    <n v="61.4"/>
    <d v="2025-03-29T00:00:00"/>
    <d v="2025-03-30T00:00:00"/>
    <s v="M"/>
    <x v="1"/>
    <n v="4"/>
    <x v="0"/>
    <x v="10"/>
    <x v="3"/>
    <x v="12"/>
    <x v="1"/>
  </r>
  <r>
    <s v="TX502397"/>
    <x v="15"/>
    <x v="1"/>
    <n v="22.9"/>
    <n v="45.8"/>
    <d v="2025-03-29T00:00:00"/>
    <d v="2025-03-30T00:00:00"/>
    <s v="M"/>
    <x v="0"/>
    <n v="4"/>
    <x v="0"/>
    <x v="11"/>
    <x v="3"/>
    <x v="12"/>
    <x v="1"/>
  </r>
  <r>
    <s v="TX502398"/>
    <x v="10"/>
    <x v="1"/>
    <n v="22.1"/>
    <n v="44.2"/>
    <d v="2025-03-29T00:00:00"/>
    <d v="2025-03-30T00:00:00"/>
    <s v="F"/>
    <x v="4"/>
    <n v="4"/>
    <x v="0"/>
    <x v="11"/>
    <x v="3"/>
    <x v="12"/>
    <x v="2"/>
  </r>
  <r>
    <s v="TX502399"/>
    <x v="12"/>
    <x v="1"/>
    <n v="31"/>
    <n v="62"/>
    <d v="2025-03-29T00:00:00"/>
    <d v="2025-03-31T00:00:00"/>
    <s v="F"/>
    <x v="2"/>
    <n v="4"/>
    <x v="0"/>
    <x v="18"/>
    <x v="1"/>
    <x v="12"/>
    <x v="2"/>
  </r>
  <r>
    <s v="TX502400"/>
    <x v="18"/>
    <x v="1"/>
    <n v="84.2"/>
    <n v="168.4"/>
    <d v="2025-03-29T00:00:00"/>
    <d v="2025-03-31T00:00:00"/>
    <s v="M"/>
    <x v="2"/>
    <n v="5"/>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38AB61-A40C-48D0-AA8D-076BF0F1EDC4}" name="PivotTable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8:C22" firstHeaderRow="0" firstDataRow="1" firstDataCol="1"/>
  <pivotFields count="16">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8B4A21-2468-49B5-BC06-C0002776F4BE}" name="PivotTable1"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6">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52031A-0EDE-4F5F-98FB-0F1756FF332C}" name="Pivot apps" cacheId="2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F10" firstHeaderRow="1" firstDataRow="2" firstDataCol="1"/>
  <pivotFields count="16">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C70EBA-4B38-4E62-A222-14F5B8F68126}" name="Pivot count"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x="5"/>
        <item n="More than 10" x="6"/>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3CBD22-EE0F-46F5-9022-1DD1184410EA}" name="Pivot gender"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location ref="K5:L10" firstHeaderRow="1" firstDataRow="1" firstDataCol="1"/>
  <pivotFields count="16">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s>
  <rowFields count="1">
    <field x="14"/>
  </rowFields>
  <rowItems count="5">
    <i>
      <x/>
    </i>
    <i>
      <x v="1"/>
    </i>
    <i>
      <x v="2"/>
    </i>
    <i>
      <x v="3"/>
    </i>
    <i t="grand">
      <x/>
    </i>
  </rowItems>
  <colItems count="1">
    <i/>
  </colItems>
  <dataFields count="1">
    <dataField name="Sum of Quantity" fld="2" baseField="0" baseItem="0"/>
  </dataFields>
  <chartFormats count="17">
    <chartFormat chart="46" format="8" series="1">
      <pivotArea type="data" outline="0" fieldPosition="0">
        <references count="2">
          <reference field="4294967294" count="1" selected="0">
            <x v="0"/>
          </reference>
          <reference field="14" count="1" selected="0">
            <x v="0"/>
          </reference>
        </references>
      </pivotArea>
    </chartFormat>
    <chartFormat chart="46" format="9" series="1">
      <pivotArea type="data" outline="0" fieldPosition="0">
        <references count="2">
          <reference field="4294967294" count="1" selected="0">
            <x v="0"/>
          </reference>
          <reference field="14" count="1" selected="0">
            <x v="1"/>
          </reference>
        </references>
      </pivotArea>
    </chartFormat>
    <chartFormat chart="46" format="10" series="1">
      <pivotArea type="data" outline="0" fieldPosition="0">
        <references count="2">
          <reference field="4294967294" count="1" selected="0">
            <x v="0"/>
          </reference>
          <reference field="14" count="1" selected="0">
            <x v="2"/>
          </reference>
        </references>
      </pivotArea>
    </chartFormat>
    <chartFormat chart="46" format="11" series="1">
      <pivotArea type="data" outline="0" fieldPosition="0">
        <references count="2">
          <reference field="4294967294" count="1" selected="0">
            <x v="0"/>
          </reference>
          <reference field="14" count="1" selected="0">
            <x v="3"/>
          </reference>
        </references>
      </pivotArea>
    </chartFormat>
    <chartFormat chart="69" format="0" series="1">
      <pivotArea type="data" outline="0" fieldPosition="0">
        <references count="2">
          <reference field="4294967294" count="1" selected="0">
            <x v="0"/>
          </reference>
          <reference field="14" count="1" selected="0">
            <x v="0"/>
          </reference>
        </references>
      </pivotArea>
    </chartFormat>
    <chartFormat chart="69" format="1" series="1">
      <pivotArea type="data" outline="0" fieldPosition="0">
        <references count="2">
          <reference field="4294967294" count="1" selected="0">
            <x v="0"/>
          </reference>
          <reference field="14" count="1" selected="0">
            <x v="1"/>
          </reference>
        </references>
      </pivotArea>
    </chartFormat>
    <chartFormat chart="69" format="2" series="1">
      <pivotArea type="data" outline="0" fieldPosition="0">
        <references count="2">
          <reference field="4294967294" count="1" selected="0">
            <x v="0"/>
          </reference>
          <reference field="14" count="1" selected="0">
            <x v="2"/>
          </reference>
        </references>
      </pivotArea>
    </chartFormat>
    <chartFormat chart="69" format="3" series="1">
      <pivotArea type="data" outline="0" fieldPosition="0">
        <references count="2">
          <reference field="4294967294" count="1" selected="0">
            <x v="0"/>
          </reference>
          <reference field="14" count="1" selected="0">
            <x v="3"/>
          </reference>
        </references>
      </pivotArea>
    </chartFormat>
    <chartFormat chart="72" format="8" series="1">
      <pivotArea type="data" outline="0" fieldPosition="0">
        <references count="2">
          <reference field="4294967294" count="1" selected="0">
            <x v="0"/>
          </reference>
          <reference field="14" count="1" selected="0">
            <x v="0"/>
          </reference>
        </references>
      </pivotArea>
    </chartFormat>
    <chartFormat chart="72" format="9" series="1">
      <pivotArea type="data" outline="0" fieldPosition="0">
        <references count="2">
          <reference field="4294967294" count="1" selected="0">
            <x v="0"/>
          </reference>
          <reference field="14" count="1" selected="0">
            <x v="1"/>
          </reference>
        </references>
      </pivotArea>
    </chartFormat>
    <chartFormat chart="72" format="10" series="1">
      <pivotArea type="data" outline="0" fieldPosition="0">
        <references count="2">
          <reference field="4294967294" count="1" selected="0">
            <x v="0"/>
          </reference>
          <reference field="14" count="1" selected="0">
            <x v="2"/>
          </reference>
        </references>
      </pivotArea>
    </chartFormat>
    <chartFormat chart="72" format="11" series="1">
      <pivotArea type="data" outline="0" fieldPosition="0">
        <references count="2">
          <reference field="4294967294" count="1" selected="0">
            <x v="0"/>
          </reference>
          <reference field="14" count="1" selected="0">
            <x v="3"/>
          </reference>
        </references>
      </pivotArea>
    </chartFormat>
    <chartFormat chart="87" format="6" series="1">
      <pivotArea type="data" outline="0" fieldPosition="0">
        <references count="1">
          <reference field="4294967294" count="1" selected="0">
            <x v="0"/>
          </reference>
        </references>
      </pivotArea>
    </chartFormat>
    <chartFormat chart="87" format="7">
      <pivotArea type="data" outline="0" fieldPosition="0">
        <references count="2">
          <reference field="4294967294" count="1" selected="0">
            <x v="0"/>
          </reference>
          <reference field="14" count="1" selected="0">
            <x v="0"/>
          </reference>
        </references>
      </pivotArea>
    </chartFormat>
    <chartFormat chart="87" format="8">
      <pivotArea type="data" outline="0" fieldPosition="0">
        <references count="2">
          <reference field="4294967294" count="1" selected="0">
            <x v="0"/>
          </reference>
          <reference field="14" count="1" selected="0">
            <x v="1"/>
          </reference>
        </references>
      </pivotArea>
    </chartFormat>
    <chartFormat chart="87" format="9">
      <pivotArea type="data" outline="0" fieldPosition="0">
        <references count="2">
          <reference field="4294967294" count="1" selected="0">
            <x v="0"/>
          </reference>
          <reference field="14" count="1" selected="0">
            <x v="2"/>
          </reference>
        </references>
      </pivotArea>
    </chartFormat>
    <chartFormat chart="87"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8DD8A2-D8FD-499E-A2CF-4B1C4E8B4EB2}" name="pivotsummar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4">
  <location ref="A3:F25" firstHeaderRow="1" firstDataRow="2" firstDataCol="1"/>
  <pivotFields count="16">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4">
    <chartFormat chart="72" format="8" series="1">
      <pivotArea type="data" outline="0" fieldPosition="0">
        <references count="2">
          <reference field="4294967294" count="1" selected="0">
            <x v="0"/>
          </reference>
          <reference field="14" count="1" selected="0">
            <x v="0"/>
          </reference>
        </references>
      </pivotArea>
    </chartFormat>
    <chartFormat chart="72" format="9" series="1">
      <pivotArea type="data" outline="0" fieldPosition="0">
        <references count="2">
          <reference field="4294967294" count="1" selected="0">
            <x v="0"/>
          </reference>
          <reference field="14" count="1" selected="0">
            <x v="1"/>
          </reference>
        </references>
      </pivotArea>
    </chartFormat>
    <chartFormat chart="72" format="10" series="1">
      <pivotArea type="data" outline="0" fieldPosition="0">
        <references count="2">
          <reference field="4294967294" count="1" selected="0">
            <x v="0"/>
          </reference>
          <reference field="14" count="1" selected="0">
            <x v="2"/>
          </reference>
        </references>
      </pivotArea>
    </chartFormat>
    <chartFormat chart="72"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42808C-4275-4020-9C2B-668E502CD4E4}" name="PivotTable8"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D61" firstHeaderRow="0"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93C226-C01C-4FE3-9ADC-565B7E506A6A}" name="PivotTable12"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O6:Q64" firstHeaderRow="1"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14D274-5970-41FB-B861-8859CBA806A2}" name="PivotTable9"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6:L64" firstHeaderRow="1" firstDataRow="1" firstDataCol="2"/>
  <pivotFields count="16">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Items count="1">
    <i/>
  </colItems>
  <dataFields count="1">
    <dataField name="Sum of Quantit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024566D-10C8-4609-9671-363ABFB4F6D4}" name="PivotTable13"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9" firstHeaderRow="1" firstDataRow="1" firstDataCol="1"/>
  <pivotFields count="16">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B557DA6C-0B48-4101-AB42-7E76A141698D}" sourceName="Order Mode">
  <pivotTables>
    <pivotTable tabId="7" name="Pivot apps"/>
    <pivotTable tabId="5" name="PivotTable1"/>
    <pivotTable tabId="5" name="PivotTable3"/>
    <pivotTable tabId="8" name="Pivot count"/>
    <pivotTable tabId="9" name="Pivot gender"/>
    <pivotTable tabId="9" name="pivotsummary"/>
    <pivotTable tabId="10" name="PivotTable12"/>
    <pivotTable tabId="10" name="PivotTable8"/>
    <pivotTable tabId="10" name="PivotTable9"/>
    <pivotTable tabId="11" name="PivotTable13"/>
  </pivotTables>
  <data>
    <tabular pivotCacheId="117665782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68921DD8-2594-4F19-8447-7925456BD44A}" sourceName="Gender Value">
  <pivotTables>
    <pivotTable tabId="7" name="Pivot apps"/>
    <pivotTable tabId="5" name="PivotTable1"/>
    <pivotTable tabId="5" name="PivotTable3"/>
    <pivotTable tabId="8" name="Pivot count"/>
    <pivotTable tabId="9" name="Pivot gender"/>
    <pivotTable tabId="9" name="pivotsummary"/>
    <pivotTable tabId="10" name="PivotTable12"/>
    <pivotTable tabId="10" name="PivotTable8"/>
    <pivotTable tabId="10" name="PivotTable9"/>
    <pivotTable tabId="11" name="PivotTable13"/>
  </pivotTables>
  <data>
    <tabular pivotCacheId="117665782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DDDF52EB-664D-438A-B0C6-CB3B708D9218}" cache="Slicer_Order_Mode" caption="Order Mode" style="SlicerStyleDark5" rowHeight="247650"/>
  <slicer name="Gender Value" xr10:uid="{F046262A-90D9-4729-AE0F-98ABD422A8EC}" cache="Slicer_Gender_Value" caption="Gender Value"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headerRowDxfId="5">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57C32-2421-4E19-BCCB-7A891FCA7FED}">
  <dimension ref="A3:N22"/>
  <sheetViews>
    <sheetView workbookViewId="0"/>
  </sheetViews>
  <sheetFormatPr defaultRowHeight="14.4" x14ac:dyDescent="0.3"/>
  <cols>
    <col min="1" max="1" width="12.44140625" bestFit="1" customWidth="1"/>
    <col min="2" max="2" width="14.21875" bestFit="1" customWidth="1"/>
    <col min="3" max="3" width="13.5546875" bestFit="1" customWidth="1"/>
    <col min="4" max="4" width="16.6640625" bestFit="1" customWidth="1"/>
    <col min="5" max="5" width="22.33203125" bestFit="1" customWidth="1"/>
    <col min="10" max="10" width="11.33203125" customWidth="1"/>
  </cols>
  <sheetData>
    <row r="3" spans="1:14" x14ac:dyDescent="0.3">
      <c r="A3" t="s">
        <v>2520</v>
      </c>
      <c r="B3" t="s">
        <v>2521</v>
      </c>
      <c r="C3" t="s">
        <v>2522</v>
      </c>
      <c r="D3" t="s">
        <v>2523</v>
      </c>
      <c r="E3" t="s">
        <v>2524</v>
      </c>
      <c r="J3" t="s">
        <v>2525</v>
      </c>
    </row>
    <row r="4" spans="1:14" x14ac:dyDescent="0.3">
      <c r="A4" s="10">
        <v>2400</v>
      </c>
      <c r="B4" s="10">
        <v>11997</v>
      </c>
      <c r="C4" s="10">
        <v>649019.80000000144</v>
      </c>
      <c r="D4" s="10">
        <v>3.9620833333333332</v>
      </c>
      <c r="E4" s="10">
        <v>2.3424999999999998</v>
      </c>
      <c r="J4" t="s">
        <v>2526</v>
      </c>
      <c r="K4" t="s">
        <v>2527</v>
      </c>
      <c r="L4" t="s">
        <v>2528</v>
      </c>
      <c r="M4" t="s">
        <v>2529</v>
      </c>
      <c r="N4" t="s">
        <v>2530</v>
      </c>
    </row>
    <row r="5" spans="1:14" x14ac:dyDescent="0.3">
      <c r="J5" t="str">
        <f>TEXT(A4,"#,##")</f>
        <v>2,400</v>
      </c>
      <c r="K5" t="str">
        <f t="shared" ref="K5" si="0">TEXT(B4,"#,##")</f>
        <v>11,997</v>
      </c>
      <c r="L5" t="str">
        <f>TEXT(C4,"$#,##,.Ok")</f>
        <v>$649.Ok</v>
      </c>
      <c r="M5" t="str">
        <f>TEXT(D4,"0.0")</f>
        <v>4.0</v>
      </c>
      <c r="N5" t="str">
        <f>TEXT(E4,"0.0")</f>
        <v>2.3</v>
      </c>
    </row>
    <row r="8" spans="1:14" x14ac:dyDescent="0.3">
      <c r="A8" s="4" t="s">
        <v>2518</v>
      </c>
      <c r="B8" t="s">
        <v>2521</v>
      </c>
      <c r="C8" t="s">
        <v>2522</v>
      </c>
    </row>
    <row r="9" spans="1:14" x14ac:dyDescent="0.3">
      <c r="A9" s="5">
        <v>1</v>
      </c>
      <c r="B9" s="10">
        <v>546</v>
      </c>
      <c r="C9" s="7">
        <v>32413.300000000003</v>
      </c>
    </row>
    <row r="10" spans="1:14" x14ac:dyDescent="0.3">
      <c r="A10" s="5">
        <v>2</v>
      </c>
      <c r="B10" s="10">
        <v>905</v>
      </c>
      <c r="C10" s="7">
        <v>49562.999999999993</v>
      </c>
    </row>
    <row r="11" spans="1:14" x14ac:dyDescent="0.3">
      <c r="A11" s="5">
        <v>3</v>
      </c>
      <c r="B11" s="10">
        <v>796</v>
      </c>
      <c r="C11" s="7">
        <v>41700.400000000016</v>
      </c>
    </row>
    <row r="12" spans="1:14" x14ac:dyDescent="0.3">
      <c r="A12" s="5">
        <v>4</v>
      </c>
      <c r="B12" s="10">
        <v>913</v>
      </c>
      <c r="C12" s="7">
        <v>46782.599999999984</v>
      </c>
    </row>
    <row r="13" spans="1:14" x14ac:dyDescent="0.3">
      <c r="A13" s="5">
        <v>5</v>
      </c>
      <c r="B13" s="10">
        <v>844</v>
      </c>
      <c r="C13" s="7">
        <v>42676.100000000006</v>
      </c>
    </row>
    <row r="14" spans="1:14" x14ac:dyDescent="0.3">
      <c r="A14" s="5">
        <v>6</v>
      </c>
      <c r="B14" s="10">
        <v>1202</v>
      </c>
      <c r="C14" s="7">
        <v>62910.7</v>
      </c>
    </row>
    <row r="15" spans="1:14" x14ac:dyDescent="0.3">
      <c r="A15" s="5">
        <v>7</v>
      </c>
      <c r="B15" s="10">
        <v>935</v>
      </c>
      <c r="C15" s="7">
        <v>50332.200000000004</v>
      </c>
    </row>
    <row r="16" spans="1:14" x14ac:dyDescent="0.3">
      <c r="A16" s="5">
        <v>8</v>
      </c>
      <c r="B16" s="10">
        <v>1128</v>
      </c>
      <c r="C16" s="7">
        <v>58760.599999999977</v>
      </c>
    </row>
    <row r="17" spans="1:3" x14ac:dyDescent="0.3">
      <c r="A17" s="5">
        <v>9</v>
      </c>
      <c r="B17" s="10">
        <v>1007</v>
      </c>
      <c r="C17" s="7">
        <v>52017.299999999996</v>
      </c>
    </row>
    <row r="18" spans="1:3" x14ac:dyDescent="0.3">
      <c r="A18" s="5">
        <v>10</v>
      </c>
      <c r="B18" s="10">
        <v>1128</v>
      </c>
      <c r="C18" s="7">
        <v>64915.700000000033</v>
      </c>
    </row>
    <row r="19" spans="1:3" x14ac:dyDescent="0.3">
      <c r="A19" s="5">
        <v>11</v>
      </c>
      <c r="B19" s="10">
        <v>861</v>
      </c>
      <c r="C19" s="7">
        <v>45943.80000000001</v>
      </c>
    </row>
    <row r="20" spans="1:3" x14ac:dyDescent="0.3">
      <c r="A20" s="5">
        <v>12</v>
      </c>
      <c r="B20" s="10">
        <v>944</v>
      </c>
      <c r="C20" s="7">
        <v>55077.900000000031</v>
      </c>
    </row>
    <row r="21" spans="1:3" x14ac:dyDescent="0.3">
      <c r="A21" s="5">
        <v>13</v>
      </c>
      <c r="B21" s="10">
        <v>788</v>
      </c>
      <c r="C21" s="7">
        <v>45926.19999999999</v>
      </c>
    </row>
    <row r="22" spans="1:3" x14ac:dyDescent="0.3">
      <c r="A22" s="5" t="s">
        <v>2519</v>
      </c>
      <c r="B22" s="10">
        <v>11997</v>
      </c>
      <c r="C22" s="7">
        <v>649019.79999999993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7E0AA-0B56-474A-8ED8-CFD94C4178E7}">
  <sheetPr>
    <tabColor theme="0"/>
  </sheetPr>
  <dimension ref="A27"/>
  <sheetViews>
    <sheetView tabSelected="1" zoomScale="68" zoomScaleNormal="68" workbookViewId="0"/>
  </sheetViews>
  <sheetFormatPr defaultRowHeight="14.4" x14ac:dyDescent="0.3"/>
  <cols>
    <col min="1" max="1" width="2.88671875" customWidth="1"/>
    <col min="2" max="2" width="26.6640625" customWidth="1"/>
    <col min="3" max="3" width="2.88671875" customWidth="1"/>
  </cols>
  <sheetData>
    <row r="27" customFormat="1"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43D2F-11A4-422A-9976-DCE6BE408184}">
  <dimension ref="A2:L10"/>
  <sheetViews>
    <sheetView workbookViewId="0"/>
  </sheetViews>
  <sheetFormatPr defaultRowHeight="14.4" x14ac:dyDescent="0.3"/>
  <cols>
    <col min="1" max="1" width="13.5546875" bestFit="1" customWidth="1"/>
    <col min="2" max="2" width="7.21875" bestFit="1" customWidth="1"/>
    <col min="3" max="3" width="7.109375" bestFit="1" customWidth="1"/>
    <col min="4" max="4" width="6.109375" bestFit="1" customWidth="1"/>
    <col min="5" max="5" width="8.5546875" bestFit="1" customWidth="1"/>
    <col min="6" max="6" width="10.5546875" bestFit="1" customWidth="1"/>
    <col min="8" max="8" width="11.77734375" customWidth="1"/>
  </cols>
  <sheetData>
    <row r="2" spans="1:12" x14ac:dyDescent="0.3">
      <c r="H2" t="s">
        <v>2537</v>
      </c>
    </row>
    <row r="3" spans="1:12" x14ac:dyDescent="0.3">
      <c r="A3" s="4" t="s">
        <v>2522</v>
      </c>
      <c r="H3" t="s">
        <v>2536</v>
      </c>
    </row>
    <row r="4" spans="1:12" x14ac:dyDescent="0.3">
      <c r="B4" t="s">
        <v>2531</v>
      </c>
      <c r="C4" t="s">
        <v>2532</v>
      </c>
      <c r="D4" t="s">
        <v>2533</v>
      </c>
      <c r="E4" t="s">
        <v>2534</v>
      </c>
      <c r="F4" t="s">
        <v>2519</v>
      </c>
      <c r="I4" t="str">
        <f>B4</f>
        <v>Female</v>
      </c>
      <c r="J4" t="str">
        <f t="shared" ref="J4:L9" si="0">C4</f>
        <v>Male</v>
      </c>
      <c r="K4" t="str">
        <f t="shared" si="0"/>
        <v>Other</v>
      </c>
      <c r="L4" t="str">
        <f t="shared" si="0"/>
        <v>Unknown</v>
      </c>
    </row>
    <row r="5" spans="1:12" x14ac:dyDescent="0.3">
      <c r="A5" s="5" t="s">
        <v>18</v>
      </c>
      <c r="B5" s="8">
        <v>0.18961825201634841</v>
      </c>
      <c r="C5" s="8">
        <v>0.12262322351336576</v>
      </c>
      <c r="D5" s="8">
        <v>1.060537752469185E-2</v>
      </c>
      <c r="E5" s="8">
        <v>3.0599220547662797E-2</v>
      </c>
      <c r="F5" s="8">
        <v>0.35344607360206881</v>
      </c>
      <c r="H5" t="str">
        <f>A5</f>
        <v>App</v>
      </c>
      <c r="I5" s="9">
        <f>B5</f>
        <v>0.18961825201634841</v>
      </c>
      <c r="J5" s="9">
        <f t="shared" si="0"/>
        <v>0.12262322351336576</v>
      </c>
      <c r="K5" s="9">
        <f t="shared" si="0"/>
        <v>1.060537752469185E-2</v>
      </c>
      <c r="L5" s="9">
        <f t="shared" si="0"/>
        <v>3.0599220547662797E-2</v>
      </c>
    </row>
    <row r="6" spans="1:12" x14ac:dyDescent="0.3">
      <c r="A6" s="5" t="s">
        <v>51</v>
      </c>
      <c r="B6" s="8">
        <v>5.0283982091147303E-2</v>
      </c>
      <c r="C6" s="8">
        <v>4.3060781812819873E-2</v>
      </c>
      <c r="D6" s="8">
        <v>1.5320025675641944E-3</v>
      </c>
      <c r="E6" s="8">
        <v>1.7794988689097006E-2</v>
      </c>
      <c r="F6" s="8">
        <v>0.11267175516062837</v>
      </c>
      <c r="H6" t="str">
        <f>A6</f>
        <v>Instagram</v>
      </c>
      <c r="I6" s="9">
        <f t="shared" ref="I6:I9" si="1">B6</f>
        <v>5.0283982091147303E-2</v>
      </c>
      <c r="J6" s="9">
        <f t="shared" si="0"/>
        <v>4.3060781812819873E-2</v>
      </c>
      <c r="K6" s="9">
        <f t="shared" si="0"/>
        <v>1.5320025675641944E-3</v>
      </c>
      <c r="L6" s="9">
        <f t="shared" si="0"/>
        <v>1.7794988689097006E-2</v>
      </c>
    </row>
    <row r="7" spans="1:12" x14ac:dyDescent="0.3">
      <c r="A7" s="5" t="s">
        <v>70</v>
      </c>
      <c r="B7" s="8">
        <v>6.3496059750411282E-2</v>
      </c>
      <c r="C7" s="8">
        <v>4.6071629863988765E-2</v>
      </c>
      <c r="D7" s="8">
        <v>2.306247051322625E-3</v>
      </c>
      <c r="E7" s="8">
        <v>3.8927934093844286E-3</v>
      </c>
      <c r="F7" s="8">
        <v>0.11576673007510711</v>
      </c>
      <c r="H7" t="str">
        <f>A7</f>
        <v>Partner App</v>
      </c>
      <c r="I7" s="9">
        <f t="shared" si="1"/>
        <v>6.3496059750411282E-2</v>
      </c>
      <c r="J7" s="9">
        <f t="shared" si="0"/>
        <v>4.6071629863988765E-2</v>
      </c>
      <c r="K7" s="9">
        <f t="shared" si="0"/>
        <v>2.306247051322625E-3</v>
      </c>
      <c r="L7" s="9">
        <f t="shared" si="0"/>
        <v>3.8927934093844286E-3</v>
      </c>
    </row>
    <row r="8" spans="1:12" x14ac:dyDescent="0.3">
      <c r="A8" s="5" t="s">
        <v>40</v>
      </c>
      <c r="B8" s="8">
        <v>9.6337892927149532E-2</v>
      </c>
      <c r="C8" s="8">
        <v>6.7920115842382611E-2</v>
      </c>
      <c r="D8" s="8">
        <v>5.4979832664581261E-3</v>
      </c>
      <c r="E8" s="8">
        <v>1.2933041488102518E-2</v>
      </c>
      <c r="F8" s="8">
        <v>0.1826890335240928</v>
      </c>
      <c r="H8" t="str">
        <f>A8</f>
        <v>Target.com</v>
      </c>
      <c r="I8" s="9">
        <f t="shared" si="1"/>
        <v>9.6337892927149532E-2</v>
      </c>
      <c r="J8" s="9">
        <f t="shared" si="0"/>
        <v>6.7920115842382611E-2</v>
      </c>
      <c r="K8" s="9">
        <f t="shared" si="0"/>
        <v>5.4979832664581261E-3</v>
      </c>
      <c r="L8" s="9">
        <f t="shared" si="0"/>
        <v>1.2933041488102518E-2</v>
      </c>
    </row>
    <row r="9" spans="1:12" x14ac:dyDescent="0.3">
      <c r="A9" s="5" t="s">
        <v>35</v>
      </c>
      <c r="B9" s="8">
        <v>0.12522098709469262</v>
      </c>
      <c r="C9" s="8">
        <v>9.1492740283116228E-2</v>
      </c>
      <c r="D9" s="8">
        <v>6.3042760790965081E-3</v>
      </c>
      <c r="E9" s="8">
        <v>1.2408404181197551E-2</v>
      </c>
      <c r="F9" s="8">
        <v>0.23542640763810288</v>
      </c>
      <c r="H9" t="str">
        <f>A9</f>
        <v>Website</v>
      </c>
      <c r="I9" s="9">
        <f t="shared" si="1"/>
        <v>0.12522098709469262</v>
      </c>
      <c r="J9" s="9">
        <f t="shared" si="0"/>
        <v>9.1492740283116228E-2</v>
      </c>
      <c r="K9" s="9">
        <f t="shared" si="0"/>
        <v>6.3042760790965081E-3</v>
      </c>
      <c r="L9" s="9">
        <f t="shared" si="0"/>
        <v>1.2408404181197551E-2</v>
      </c>
    </row>
    <row r="10" spans="1:12" x14ac:dyDescent="0.3">
      <c r="A10" s="5" t="s">
        <v>2519</v>
      </c>
      <c r="B10" s="8">
        <v>0.52495717387974916</v>
      </c>
      <c r="C10" s="8">
        <v>0.3711684913156732</v>
      </c>
      <c r="D10" s="8">
        <v>2.6245886489133303E-2</v>
      </c>
      <c r="E10" s="8">
        <v>7.7628448315444312E-2</v>
      </c>
      <c r="F10" s="8">
        <v>1</v>
      </c>
    </row>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A65B-618C-4D3D-B581-7EFE9CB42CF4}">
  <dimension ref="A3:B11"/>
  <sheetViews>
    <sheetView workbookViewId="0"/>
  </sheetViews>
  <sheetFormatPr defaultRowHeight="14.4" x14ac:dyDescent="0.3"/>
  <cols>
    <col min="1" max="1" width="12.44140625" bestFit="1" customWidth="1"/>
    <col min="2" max="2" width="12.21875" bestFit="1" customWidth="1"/>
  </cols>
  <sheetData>
    <row r="3" spans="1:2" x14ac:dyDescent="0.3">
      <c r="A3" s="4" t="s">
        <v>2518</v>
      </c>
      <c r="B3" t="s">
        <v>2520</v>
      </c>
    </row>
    <row r="4" spans="1:2" x14ac:dyDescent="0.3">
      <c r="A4" s="5">
        <v>1</v>
      </c>
      <c r="B4" s="10">
        <v>397</v>
      </c>
    </row>
    <row r="5" spans="1:2" x14ac:dyDescent="0.3">
      <c r="A5" s="5">
        <v>2</v>
      </c>
      <c r="B5" s="10">
        <v>540</v>
      </c>
    </row>
    <row r="6" spans="1:2" x14ac:dyDescent="0.3">
      <c r="A6" s="5">
        <v>3</v>
      </c>
      <c r="B6" s="10">
        <v>375</v>
      </c>
    </row>
    <row r="7" spans="1:2" x14ac:dyDescent="0.3">
      <c r="A7" s="5">
        <v>4</v>
      </c>
      <c r="B7" s="10">
        <v>246</v>
      </c>
    </row>
    <row r="8" spans="1:2" x14ac:dyDescent="0.3">
      <c r="A8" s="5">
        <v>5</v>
      </c>
      <c r="B8" s="10">
        <v>195</v>
      </c>
    </row>
    <row r="9" spans="1:2" x14ac:dyDescent="0.3">
      <c r="A9" s="5" t="s">
        <v>2538</v>
      </c>
      <c r="B9" s="10">
        <v>414</v>
      </c>
    </row>
    <row r="10" spans="1:2" x14ac:dyDescent="0.3">
      <c r="A10" s="5" t="s">
        <v>2539</v>
      </c>
      <c r="B10" s="10">
        <v>233</v>
      </c>
    </row>
    <row r="11" spans="1:2" x14ac:dyDescent="0.3">
      <c r="A11" s="5" t="s">
        <v>2519</v>
      </c>
      <c r="B11" s="10">
        <v>2400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FCFC9-E2A7-49A0-9EA4-5DBF7A5F8070}">
  <dimension ref="A3:L25"/>
  <sheetViews>
    <sheetView workbookViewId="0"/>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11" max="11" width="12.44140625" bestFit="1" customWidth="1"/>
    <col min="12" max="12" width="14.21875" bestFit="1" customWidth="1"/>
    <col min="13" max="13" width="5" bestFit="1" customWidth="1"/>
    <col min="14" max="14" width="5.6640625" bestFit="1" customWidth="1"/>
    <col min="15" max="15" width="8.5546875" bestFit="1" customWidth="1"/>
    <col min="16" max="16" width="10.5546875" bestFit="1" customWidth="1"/>
  </cols>
  <sheetData>
    <row r="3" spans="1:12" x14ac:dyDescent="0.3">
      <c r="A3" s="4" t="s">
        <v>2521</v>
      </c>
      <c r="B3" s="4" t="s">
        <v>2535</v>
      </c>
    </row>
    <row r="4" spans="1:12" x14ac:dyDescent="0.3">
      <c r="A4" s="4" t="s">
        <v>2518</v>
      </c>
      <c r="B4" t="s">
        <v>2531</v>
      </c>
      <c r="C4" t="s">
        <v>2532</v>
      </c>
      <c r="D4" t="s">
        <v>2533</v>
      </c>
      <c r="E4" t="s">
        <v>2534</v>
      </c>
      <c r="F4" t="s">
        <v>2519</v>
      </c>
    </row>
    <row r="5" spans="1:12" x14ac:dyDescent="0.3">
      <c r="A5" s="5" t="s">
        <v>44</v>
      </c>
      <c r="B5" s="10">
        <v>744</v>
      </c>
      <c r="C5" s="10">
        <v>713</v>
      </c>
      <c r="D5" s="10">
        <v>90</v>
      </c>
      <c r="E5" s="10">
        <v>98</v>
      </c>
      <c r="F5" s="10">
        <v>1645</v>
      </c>
      <c r="K5" s="4" t="s">
        <v>2518</v>
      </c>
      <c r="L5" t="s">
        <v>2521</v>
      </c>
    </row>
    <row r="6" spans="1:12" x14ac:dyDescent="0.3">
      <c r="A6" s="5" t="s">
        <v>39</v>
      </c>
      <c r="B6" s="10">
        <v>716</v>
      </c>
      <c r="C6" s="10">
        <v>598</v>
      </c>
      <c r="D6" s="10">
        <v>18</v>
      </c>
      <c r="E6" s="10">
        <v>214</v>
      </c>
      <c r="F6" s="10">
        <v>1546</v>
      </c>
      <c r="K6" s="5" t="s">
        <v>2531</v>
      </c>
      <c r="L6" s="10">
        <v>6272</v>
      </c>
    </row>
    <row r="7" spans="1:12" x14ac:dyDescent="0.3">
      <c r="A7" s="5" t="s">
        <v>26</v>
      </c>
      <c r="B7" s="10">
        <v>627</v>
      </c>
      <c r="C7" s="10">
        <v>393</v>
      </c>
      <c r="D7" s="10">
        <v>29</v>
      </c>
      <c r="E7" s="10">
        <v>137</v>
      </c>
      <c r="F7" s="10">
        <v>1186</v>
      </c>
      <c r="K7" s="5" t="s">
        <v>2532</v>
      </c>
      <c r="L7" s="10">
        <v>4672</v>
      </c>
    </row>
    <row r="8" spans="1:12" x14ac:dyDescent="0.3">
      <c r="A8" s="5" t="s">
        <v>22</v>
      </c>
      <c r="B8" s="10">
        <v>568</v>
      </c>
      <c r="C8" s="10">
        <v>306</v>
      </c>
      <c r="D8" s="10">
        <v>22</v>
      </c>
      <c r="E8" s="10">
        <v>16</v>
      </c>
      <c r="F8" s="10">
        <v>912</v>
      </c>
      <c r="K8" s="5" t="s">
        <v>2533</v>
      </c>
      <c r="L8" s="10">
        <v>317</v>
      </c>
    </row>
    <row r="9" spans="1:12" x14ac:dyDescent="0.3">
      <c r="A9" s="5" t="s">
        <v>54</v>
      </c>
      <c r="B9" s="10">
        <v>482</v>
      </c>
      <c r="C9" s="10">
        <v>295</v>
      </c>
      <c r="D9" s="10">
        <v>8</v>
      </c>
      <c r="E9" s="10">
        <v>22</v>
      </c>
      <c r="F9" s="10">
        <v>807</v>
      </c>
      <c r="K9" s="5" t="s">
        <v>2534</v>
      </c>
      <c r="L9" s="10">
        <v>736</v>
      </c>
    </row>
    <row r="10" spans="1:12" x14ac:dyDescent="0.3">
      <c r="A10" s="5" t="s">
        <v>16</v>
      </c>
      <c r="B10" s="10">
        <v>428</v>
      </c>
      <c r="C10" s="10">
        <v>293</v>
      </c>
      <c r="D10" s="10"/>
      <c r="E10" s="10">
        <v>24</v>
      </c>
      <c r="F10" s="10">
        <v>745</v>
      </c>
      <c r="K10" s="5" t="s">
        <v>2519</v>
      </c>
      <c r="L10" s="10">
        <v>11997</v>
      </c>
    </row>
    <row r="11" spans="1:12" x14ac:dyDescent="0.3">
      <c r="A11" s="5" t="s">
        <v>46</v>
      </c>
      <c r="B11" s="10">
        <v>445</v>
      </c>
      <c r="C11" s="10">
        <v>202</v>
      </c>
      <c r="D11" s="10">
        <v>14</v>
      </c>
      <c r="E11" s="10">
        <v>39</v>
      </c>
      <c r="F11" s="10">
        <v>700</v>
      </c>
    </row>
    <row r="12" spans="1:12" x14ac:dyDescent="0.3">
      <c r="A12" s="5" t="s">
        <v>32</v>
      </c>
      <c r="B12" s="10">
        <v>431</v>
      </c>
      <c r="C12" s="10">
        <v>187</v>
      </c>
      <c r="D12" s="10">
        <v>14</v>
      </c>
      <c r="E12" s="10">
        <v>15</v>
      </c>
      <c r="F12" s="10">
        <v>647</v>
      </c>
    </row>
    <row r="13" spans="1:12" x14ac:dyDescent="0.3">
      <c r="A13" s="5" t="s">
        <v>42</v>
      </c>
      <c r="B13" s="10">
        <v>264</v>
      </c>
      <c r="C13" s="10">
        <v>318</v>
      </c>
      <c r="D13" s="10">
        <v>15</v>
      </c>
      <c r="E13" s="10">
        <v>9</v>
      </c>
      <c r="F13" s="10">
        <v>606</v>
      </c>
    </row>
    <row r="14" spans="1:12" x14ac:dyDescent="0.3">
      <c r="A14" s="5" t="s">
        <v>37</v>
      </c>
      <c r="B14" s="10">
        <v>296</v>
      </c>
      <c r="C14" s="10">
        <v>275</v>
      </c>
      <c r="D14" s="10">
        <v>9</v>
      </c>
      <c r="E14" s="10">
        <v>23</v>
      </c>
      <c r="F14" s="10">
        <v>603</v>
      </c>
    </row>
    <row r="15" spans="1:12" x14ac:dyDescent="0.3">
      <c r="A15" s="5" t="s">
        <v>123</v>
      </c>
      <c r="B15" s="10">
        <v>153</v>
      </c>
      <c r="C15" s="10">
        <v>246</v>
      </c>
      <c r="D15" s="10">
        <v>30</v>
      </c>
      <c r="E15" s="10">
        <v>8</v>
      </c>
      <c r="F15" s="10">
        <v>437</v>
      </c>
    </row>
    <row r="16" spans="1:12" x14ac:dyDescent="0.3">
      <c r="A16" s="5" t="s">
        <v>146</v>
      </c>
      <c r="B16" s="10">
        <v>189</v>
      </c>
      <c r="C16" s="10">
        <v>168</v>
      </c>
      <c r="D16" s="10">
        <v>10</v>
      </c>
      <c r="E16" s="10">
        <v>31</v>
      </c>
      <c r="F16" s="10">
        <v>398</v>
      </c>
    </row>
    <row r="17" spans="1:6" x14ac:dyDescent="0.3">
      <c r="A17" s="5" t="s">
        <v>69</v>
      </c>
      <c r="B17" s="10">
        <v>234</v>
      </c>
      <c r="C17" s="10">
        <v>93</v>
      </c>
      <c r="D17" s="10">
        <v>19</v>
      </c>
      <c r="E17" s="10">
        <v>24</v>
      </c>
      <c r="F17" s="10">
        <v>370</v>
      </c>
    </row>
    <row r="18" spans="1:6" x14ac:dyDescent="0.3">
      <c r="A18" s="5" t="s">
        <v>30</v>
      </c>
      <c r="B18" s="10">
        <v>146</v>
      </c>
      <c r="C18" s="10">
        <v>94</v>
      </c>
      <c r="D18" s="10">
        <v>4</v>
      </c>
      <c r="E18" s="10">
        <v>28</v>
      </c>
      <c r="F18" s="10">
        <v>272</v>
      </c>
    </row>
    <row r="19" spans="1:6" x14ac:dyDescent="0.3">
      <c r="A19" s="5" t="s">
        <v>135</v>
      </c>
      <c r="B19" s="10">
        <v>127</v>
      </c>
      <c r="C19" s="10">
        <v>118</v>
      </c>
      <c r="D19" s="10">
        <v>13</v>
      </c>
      <c r="E19" s="10">
        <v>12</v>
      </c>
      <c r="F19" s="10">
        <v>270</v>
      </c>
    </row>
    <row r="20" spans="1:6" x14ac:dyDescent="0.3">
      <c r="A20" s="5" t="s">
        <v>67</v>
      </c>
      <c r="B20" s="10">
        <v>179</v>
      </c>
      <c r="C20" s="10">
        <v>76</v>
      </c>
      <c r="D20" s="10">
        <v>3</v>
      </c>
      <c r="E20" s="10"/>
      <c r="F20" s="10">
        <v>258</v>
      </c>
    </row>
    <row r="21" spans="1:6" x14ac:dyDescent="0.3">
      <c r="A21" s="5" t="s">
        <v>128</v>
      </c>
      <c r="B21" s="10">
        <v>99</v>
      </c>
      <c r="C21" s="10">
        <v>69</v>
      </c>
      <c r="D21" s="10">
        <v>3</v>
      </c>
      <c r="E21" s="10">
        <v>24</v>
      </c>
      <c r="F21" s="10">
        <v>195</v>
      </c>
    </row>
    <row r="22" spans="1:6" x14ac:dyDescent="0.3">
      <c r="A22" s="5" t="s">
        <v>76</v>
      </c>
      <c r="B22" s="10">
        <v>75</v>
      </c>
      <c r="C22" s="10">
        <v>103</v>
      </c>
      <c r="D22" s="10">
        <v>4</v>
      </c>
      <c r="E22" s="10">
        <v>6</v>
      </c>
      <c r="F22" s="10">
        <v>188</v>
      </c>
    </row>
    <row r="23" spans="1:6" x14ac:dyDescent="0.3">
      <c r="A23" s="5" t="s">
        <v>81</v>
      </c>
      <c r="B23" s="10">
        <v>43</v>
      </c>
      <c r="C23" s="10">
        <v>90</v>
      </c>
      <c r="D23" s="10">
        <v>8</v>
      </c>
      <c r="E23" s="10">
        <v>6</v>
      </c>
      <c r="F23" s="10">
        <v>147</v>
      </c>
    </row>
    <row r="24" spans="1:6" x14ac:dyDescent="0.3">
      <c r="A24" s="5" t="s">
        <v>171</v>
      </c>
      <c r="B24" s="10">
        <v>26</v>
      </c>
      <c r="C24" s="10">
        <v>35</v>
      </c>
      <c r="D24" s="10">
        <v>4</v>
      </c>
      <c r="E24" s="10"/>
      <c r="F24" s="10">
        <v>65</v>
      </c>
    </row>
    <row r="25" spans="1:6" x14ac:dyDescent="0.3">
      <c r="A25" s="5" t="s">
        <v>2519</v>
      </c>
      <c r="B25" s="10">
        <v>6272</v>
      </c>
      <c r="C25" s="10">
        <v>4672</v>
      </c>
      <c r="D25" s="10">
        <v>317</v>
      </c>
      <c r="E25" s="10">
        <v>736</v>
      </c>
      <c r="F25" s="10">
        <v>11997</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7383-1F19-46B8-8632-2288720B8096}">
  <dimension ref="A3:Q64"/>
  <sheetViews>
    <sheetView workbookViewId="0"/>
  </sheetViews>
  <sheetFormatPr defaultRowHeight="14.4" x14ac:dyDescent="0.3"/>
  <cols>
    <col min="1" max="1" width="22.77734375" bestFit="1" customWidth="1"/>
    <col min="2" max="2" width="20.88671875" bestFit="1" customWidth="1"/>
    <col min="3" max="3" width="14.77734375" bestFit="1" customWidth="1"/>
    <col min="4" max="4" width="14.109375" bestFit="1" customWidth="1"/>
    <col min="11" max="11" width="20.88671875" bestFit="1" customWidth="1"/>
    <col min="12" max="12" width="14.77734375" bestFit="1" customWidth="1"/>
    <col min="16" max="16" width="20.88671875" bestFit="1" customWidth="1"/>
    <col min="17" max="17" width="14.109375" bestFit="1" customWidth="1"/>
  </cols>
  <sheetData>
    <row r="3" spans="1:17" x14ac:dyDescent="0.3">
      <c r="A3" s="4" t="s">
        <v>10</v>
      </c>
      <c r="B3" s="4" t="s">
        <v>11</v>
      </c>
      <c r="C3" t="s">
        <v>2521</v>
      </c>
      <c r="D3" t="s">
        <v>2522</v>
      </c>
    </row>
    <row r="4" spans="1:17" x14ac:dyDescent="0.3">
      <c r="A4" t="s">
        <v>19</v>
      </c>
      <c r="B4" t="s">
        <v>115</v>
      </c>
      <c r="C4" s="10">
        <v>579</v>
      </c>
      <c r="D4" s="10">
        <v>31884.999999999996</v>
      </c>
    </row>
    <row r="5" spans="1:17" x14ac:dyDescent="0.3">
      <c r="A5" t="s">
        <v>19</v>
      </c>
      <c r="B5" t="s">
        <v>20</v>
      </c>
      <c r="C5" s="10">
        <v>1</v>
      </c>
      <c r="D5" s="10">
        <v>10.9</v>
      </c>
      <c r="J5" t="s">
        <v>2540</v>
      </c>
      <c r="O5" t="s">
        <v>2541</v>
      </c>
    </row>
    <row r="6" spans="1:17" x14ac:dyDescent="0.3">
      <c r="A6" t="s">
        <v>19</v>
      </c>
      <c r="B6" t="s">
        <v>641</v>
      </c>
      <c r="C6" s="10">
        <v>9</v>
      </c>
      <c r="D6" s="10">
        <v>800.3</v>
      </c>
      <c r="J6" s="4" t="s">
        <v>10</v>
      </c>
      <c r="K6" s="4" t="s">
        <v>11</v>
      </c>
      <c r="L6" t="s">
        <v>2521</v>
      </c>
      <c r="O6" s="4" t="s">
        <v>10</v>
      </c>
      <c r="P6" s="4" t="s">
        <v>11</v>
      </c>
      <c r="Q6" t="s">
        <v>2522</v>
      </c>
    </row>
    <row r="7" spans="1:17" x14ac:dyDescent="0.3">
      <c r="A7" t="s">
        <v>19</v>
      </c>
      <c r="B7" t="s">
        <v>967</v>
      </c>
      <c r="C7" s="10">
        <v>35</v>
      </c>
      <c r="D7" s="10">
        <v>1062.5999999999999</v>
      </c>
      <c r="J7" t="s">
        <v>19</v>
      </c>
      <c r="K7" t="s">
        <v>115</v>
      </c>
      <c r="L7" s="10">
        <v>579</v>
      </c>
      <c r="O7" t="s">
        <v>19</v>
      </c>
      <c r="P7" t="s">
        <v>115</v>
      </c>
      <c r="Q7" s="10">
        <v>31884.999999999996</v>
      </c>
    </row>
    <row r="8" spans="1:17" x14ac:dyDescent="0.3">
      <c r="A8" t="s">
        <v>19</v>
      </c>
      <c r="B8" t="s">
        <v>84</v>
      </c>
      <c r="C8" s="10">
        <v>12</v>
      </c>
      <c r="D8" s="10">
        <v>326.20000000000005</v>
      </c>
      <c r="J8" t="s">
        <v>19</v>
      </c>
      <c r="K8" t="s">
        <v>20</v>
      </c>
      <c r="L8" s="10">
        <v>1</v>
      </c>
      <c r="O8" t="s">
        <v>19</v>
      </c>
      <c r="P8" t="s">
        <v>20</v>
      </c>
      <c r="Q8" s="10">
        <v>10.9</v>
      </c>
    </row>
    <row r="9" spans="1:17" x14ac:dyDescent="0.3">
      <c r="A9" t="s">
        <v>19</v>
      </c>
      <c r="B9" t="s">
        <v>1383</v>
      </c>
      <c r="C9" s="10">
        <v>4</v>
      </c>
      <c r="D9" s="10">
        <v>167.5</v>
      </c>
      <c r="J9" t="s">
        <v>19</v>
      </c>
      <c r="K9" t="s">
        <v>641</v>
      </c>
      <c r="L9" s="10">
        <v>9</v>
      </c>
      <c r="O9" t="s">
        <v>19</v>
      </c>
      <c r="P9" t="s">
        <v>641</v>
      </c>
      <c r="Q9" s="10">
        <v>800.3</v>
      </c>
    </row>
    <row r="10" spans="1:17" x14ac:dyDescent="0.3">
      <c r="A10" t="s">
        <v>19</v>
      </c>
      <c r="B10" t="s">
        <v>24</v>
      </c>
      <c r="C10" s="10">
        <v>341</v>
      </c>
      <c r="D10" s="10">
        <v>16168.7</v>
      </c>
      <c r="J10" t="s">
        <v>19</v>
      </c>
      <c r="K10" t="s">
        <v>967</v>
      </c>
      <c r="L10" s="10">
        <v>35</v>
      </c>
      <c r="O10" t="s">
        <v>19</v>
      </c>
      <c r="P10" t="s">
        <v>967</v>
      </c>
      <c r="Q10" s="10">
        <v>1062.5999999999999</v>
      </c>
    </row>
    <row r="11" spans="1:17" x14ac:dyDescent="0.3">
      <c r="A11" t="s">
        <v>19</v>
      </c>
      <c r="B11" t="s">
        <v>2204</v>
      </c>
      <c r="C11" s="10">
        <v>13</v>
      </c>
      <c r="D11" s="10">
        <v>322.40000000000003</v>
      </c>
      <c r="J11" t="s">
        <v>19</v>
      </c>
      <c r="K11" t="s">
        <v>84</v>
      </c>
      <c r="L11" s="10">
        <v>12</v>
      </c>
      <c r="O11" t="s">
        <v>19</v>
      </c>
      <c r="P11" t="s">
        <v>84</v>
      </c>
      <c r="Q11" s="10">
        <v>326.20000000000005</v>
      </c>
    </row>
    <row r="12" spans="1:17" x14ac:dyDescent="0.3">
      <c r="A12" t="s">
        <v>19</v>
      </c>
      <c r="B12" t="s">
        <v>437</v>
      </c>
      <c r="C12" s="10">
        <v>31</v>
      </c>
      <c r="D12" s="10">
        <v>2092.8000000000002</v>
      </c>
      <c r="J12" t="s">
        <v>19</v>
      </c>
      <c r="K12" t="s">
        <v>1383</v>
      </c>
      <c r="L12" s="10">
        <v>4</v>
      </c>
      <c r="O12" t="s">
        <v>19</v>
      </c>
      <c r="P12" t="s">
        <v>1383</v>
      </c>
      <c r="Q12" s="10">
        <v>167.5</v>
      </c>
    </row>
    <row r="13" spans="1:17" x14ac:dyDescent="0.3">
      <c r="A13" t="s">
        <v>19</v>
      </c>
      <c r="B13" t="s">
        <v>28</v>
      </c>
      <c r="C13" s="10">
        <v>279</v>
      </c>
      <c r="D13" s="10">
        <v>12662.500000000002</v>
      </c>
      <c r="J13" t="s">
        <v>19</v>
      </c>
      <c r="K13" t="s">
        <v>24</v>
      </c>
      <c r="L13" s="10">
        <v>341</v>
      </c>
      <c r="O13" t="s">
        <v>19</v>
      </c>
      <c r="P13" t="s">
        <v>24</v>
      </c>
      <c r="Q13" s="10">
        <v>16168.7</v>
      </c>
    </row>
    <row r="14" spans="1:17" x14ac:dyDescent="0.3">
      <c r="A14" t="s">
        <v>19</v>
      </c>
      <c r="B14" t="s">
        <v>208</v>
      </c>
      <c r="C14" s="10">
        <v>9</v>
      </c>
      <c r="D14" s="10">
        <v>343.2</v>
      </c>
      <c r="J14" t="s">
        <v>19</v>
      </c>
      <c r="K14" t="s">
        <v>2204</v>
      </c>
      <c r="L14" s="10">
        <v>13</v>
      </c>
      <c r="O14" t="s">
        <v>19</v>
      </c>
      <c r="P14" t="s">
        <v>2204</v>
      </c>
      <c r="Q14" s="10">
        <v>322.40000000000003</v>
      </c>
    </row>
    <row r="15" spans="1:17" x14ac:dyDescent="0.3">
      <c r="A15" t="s">
        <v>19</v>
      </c>
      <c r="B15" t="s">
        <v>587</v>
      </c>
      <c r="C15" s="10">
        <v>49</v>
      </c>
      <c r="D15" s="10">
        <v>2188.2999999999997</v>
      </c>
      <c r="J15" t="s">
        <v>19</v>
      </c>
      <c r="K15" t="s">
        <v>437</v>
      </c>
      <c r="L15" s="10">
        <v>31</v>
      </c>
      <c r="O15" t="s">
        <v>19</v>
      </c>
      <c r="P15" t="s">
        <v>437</v>
      </c>
      <c r="Q15" s="10">
        <v>2092.8000000000002</v>
      </c>
    </row>
    <row r="16" spans="1:17" x14ac:dyDescent="0.3">
      <c r="A16" t="s">
        <v>19</v>
      </c>
      <c r="B16" t="s">
        <v>331</v>
      </c>
      <c r="C16" s="10">
        <v>59</v>
      </c>
      <c r="D16" s="10">
        <v>2661.5999999999995</v>
      </c>
      <c r="J16" t="s">
        <v>19</v>
      </c>
      <c r="K16" t="s">
        <v>28</v>
      </c>
      <c r="L16" s="10">
        <v>279</v>
      </c>
      <c r="O16" t="s">
        <v>19</v>
      </c>
      <c r="P16" t="s">
        <v>28</v>
      </c>
      <c r="Q16" s="10">
        <v>12662.500000000002</v>
      </c>
    </row>
    <row r="17" spans="1:17" x14ac:dyDescent="0.3">
      <c r="A17" t="s">
        <v>19</v>
      </c>
      <c r="B17" t="s">
        <v>86</v>
      </c>
      <c r="C17" s="10">
        <v>8</v>
      </c>
      <c r="D17" s="10">
        <v>887.5</v>
      </c>
      <c r="J17" t="s">
        <v>19</v>
      </c>
      <c r="K17" t="s">
        <v>208</v>
      </c>
      <c r="L17" s="10">
        <v>9</v>
      </c>
      <c r="O17" t="s">
        <v>19</v>
      </c>
      <c r="P17" t="s">
        <v>208</v>
      </c>
      <c r="Q17" s="10">
        <v>343.2</v>
      </c>
    </row>
    <row r="18" spans="1:17" x14ac:dyDescent="0.3">
      <c r="A18" t="s">
        <v>19</v>
      </c>
      <c r="B18" t="s">
        <v>147</v>
      </c>
      <c r="C18" s="10">
        <v>222</v>
      </c>
      <c r="D18" s="10">
        <v>11354.199999999993</v>
      </c>
      <c r="J18" t="s">
        <v>19</v>
      </c>
      <c r="K18" t="s">
        <v>587</v>
      </c>
      <c r="L18" s="10">
        <v>49</v>
      </c>
      <c r="O18" t="s">
        <v>19</v>
      </c>
      <c r="P18" t="s">
        <v>587</v>
      </c>
      <c r="Q18" s="10">
        <v>2188.2999999999997</v>
      </c>
    </row>
    <row r="19" spans="1:17" x14ac:dyDescent="0.3">
      <c r="A19" t="s">
        <v>19</v>
      </c>
      <c r="B19" t="s">
        <v>334</v>
      </c>
      <c r="C19" s="10">
        <v>36</v>
      </c>
      <c r="D19" s="10">
        <v>1558.4</v>
      </c>
      <c r="J19" t="s">
        <v>19</v>
      </c>
      <c r="K19" t="s">
        <v>331</v>
      </c>
      <c r="L19" s="10">
        <v>59</v>
      </c>
      <c r="O19" t="s">
        <v>19</v>
      </c>
      <c r="P19" t="s">
        <v>331</v>
      </c>
      <c r="Q19" s="10">
        <v>2661.5999999999995</v>
      </c>
    </row>
    <row r="20" spans="1:17" x14ac:dyDescent="0.3">
      <c r="A20" t="s">
        <v>19</v>
      </c>
      <c r="B20" t="s">
        <v>949</v>
      </c>
      <c r="C20" s="10">
        <v>30</v>
      </c>
      <c r="D20" s="10">
        <v>2223.9</v>
      </c>
      <c r="J20" t="s">
        <v>19</v>
      </c>
      <c r="K20" t="s">
        <v>86</v>
      </c>
      <c r="L20" s="10">
        <v>8</v>
      </c>
      <c r="O20" t="s">
        <v>19</v>
      </c>
      <c r="P20" t="s">
        <v>86</v>
      </c>
      <c r="Q20" s="10">
        <v>887.5</v>
      </c>
    </row>
    <row r="21" spans="1:17" x14ac:dyDescent="0.3">
      <c r="A21" t="s">
        <v>19</v>
      </c>
      <c r="B21" t="s">
        <v>1426</v>
      </c>
      <c r="C21" s="10">
        <v>1</v>
      </c>
      <c r="D21" s="10">
        <v>26.2</v>
      </c>
      <c r="J21" t="s">
        <v>19</v>
      </c>
      <c r="K21" t="s">
        <v>147</v>
      </c>
      <c r="L21" s="10">
        <v>222</v>
      </c>
      <c r="O21" t="s">
        <v>19</v>
      </c>
      <c r="P21" t="s">
        <v>147</v>
      </c>
      <c r="Q21" s="10">
        <v>11354.199999999993</v>
      </c>
    </row>
    <row r="22" spans="1:17" x14ac:dyDescent="0.3">
      <c r="A22" t="s">
        <v>19</v>
      </c>
      <c r="B22" t="s">
        <v>33</v>
      </c>
      <c r="C22" s="10">
        <v>3991</v>
      </c>
      <c r="D22" s="10">
        <v>215551.19999999981</v>
      </c>
      <c r="J22" t="s">
        <v>19</v>
      </c>
      <c r="K22" t="s">
        <v>334</v>
      </c>
      <c r="L22" s="10">
        <v>36</v>
      </c>
      <c r="O22" t="s">
        <v>19</v>
      </c>
      <c r="P22" t="s">
        <v>334</v>
      </c>
      <c r="Q22" s="10">
        <v>1558.4</v>
      </c>
    </row>
    <row r="23" spans="1:17" x14ac:dyDescent="0.3">
      <c r="A23" t="s">
        <v>19</v>
      </c>
      <c r="B23" t="s">
        <v>364</v>
      </c>
      <c r="C23" s="10">
        <v>45</v>
      </c>
      <c r="D23" s="10">
        <v>2687.3999999999996</v>
      </c>
      <c r="J23" t="s">
        <v>19</v>
      </c>
      <c r="K23" t="s">
        <v>949</v>
      </c>
      <c r="L23" s="10">
        <v>30</v>
      </c>
      <c r="O23" t="s">
        <v>19</v>
      </c>
      <c r="P23" t="s">
        <v>949</v>
      </c>
      <c r="Q23" s="10">
        <v>2223.9</v>
      </c>
    </row>
    <row r="24" spans="1:17" x14ac:dyDescent="0.3">
      <c r="A24" t="s">
        <v>19</v>
      </c>
      <c r="B24" t="s">
        <v>545</v>
      </c>
      <c r="C24" s="10">
        <v>39</v>
      </c>
      <c r="D24" s="10">
        <v>1463.3000000000002</v>
      </c>
      <c r="J24" t="s">
        <v>19</v>
      </c>
      <c r="K24" t="s">
        <v>1426</v>
      </c>
      <c r="L24" s="10">
        <v>1</v>
      </c>
      <c r="O24" t="s">
        <v>19</v>
      </c>
      <c r="P24" t="s">
        <v>1426</v>
      </c>
      <c r="Q24" s="10">
        <v>26.2</v>
      </c>
    </row>
    <row r="25" spans="1:17" x14ac:dyDescent="0.3">
      <c r="A25" t="s">
        <v>19</v>
      </c>
      <c r="B25" t="s">
        <v>416</v>
      </c>
      <c r="C25" s="10">
        <v>6</v>
      </c>
      <c r="D25" s="10">
        <v>445.79999999999995</v>
      </c>
      <c r="J25" t="s">
        <v>19</v>
      </c>
      <c r="K25" t="s">
        <v>33</v>
      </c>
      <c r="L25" s="10">
        <v>3991</v>
      </c>
      <c r="O25" t="s">
        <v>19</v>
      </c>
      <c r="P25" t="s">
        <v>33</v>
      </c>
      <c r="Q25" s="10">
        <v>215551.19999999981</v>
      </c>
    </row>
    <row r="26" spans="1:17" x14ac:dyDescent="0.3">
      <c r="A26" t="s">
        <v>19</v>
      </c>
      <c r="B26" t="s">
        <v>258</v>
      </c>
      <c r="C26" s="10">
        <v>9</v>
      </c>
      <c r="D26" s="10">
        <v>273.59999999999997</v>
      </c>
      <c r="J26" t="s">
        <v>19</v>
      </c>
      <c r="K26" t="s">
        <v>364</v>
      </c>
      <c r="L26" s="10">
        <v>45</v>
      </c>
      <c r="O26" t="s">
        <v>19</v>
      </c>
      <c r="P26" t="s">
        <v>364</v>
      </c>
      <c r="Q26" s="10">
        <v>2687.3999999999996</v>
      </c>
    </row>
    <row r="27" spans="1:17" x14ac:dyDescent="0.3">
      <c r="A27" t="s">
        <v>19</v>
      </c>
      <c r="B27" t="s">
        <v>186</v>
      </c>
      <c r="C27" s="10">
        <v>60</v>
      </c>
      <c r="D27" s="10">
        <v>2690.4</v>
      </c>
      <c r="J27" t="s">
        <v>19</v>
      </c>
      <c r="K27" t="s">
        <v>545</v>
      </c>
      <c r="L27" s="10">
        <v>39</v>
      </c>
      <c r="O27" t="s">
        <v>19</v>
      </c>
      <c r="P27" t="s">
        <v>545</v>
      </c>
      <c r="Q27" s="10">
        <v>1463.3000000000002</v>
      </c>
    </row>
    <row r="28" spans="1:17" x14ac:dyDescent="0.3">
      <c r="A28" t="s">
        <v>19</v>
      </c>
      <c r="B28" t="s">
        <v>392</v>
      </c>
      <c r="C28" s="10">
        <v>2</v>
      </c>
      <c r="D28" s="10">
        <v>28.4</v>
      </c>
      <c r="J28" t="s">
        <v>19</v>
      </c>
      <c r="K28" t="s">
        <v>416</v>
      </c>
      <c r="L28" s="10">
        <v>6</v>
      </c>
      <c r="O28" t="s">
        <v>19</v>
      </c>
      <c r="P28" t="s">
        <v>416</v>
      </c>
      <c r="Q28" s="10">
        <v>445.79999999999995</v>
      </c>
    </row>
    <row r="29" spans="1:17" x14ac:dyDescent="0.3">
      <c r="A29" t="s">
        <v>19</v>
      </c>
      <c r="B29" t="s">
        <v>670</v>
      </c>
      <c r="C29" s="10">
        <v>4</v>
      </c>
      <c r="D29" s="10">
        <v>204.8</v>
      </c>
      <c r="J29" t="s">
        <v>19</v>
      </c>
      <c r="K29" t="s">
        <v>258</v>
      </c>
      <c r="L29" s="10">
        <v>9</v>
      </c>
      <c r="O29" t="s">
        <v>19</v>
      </c>
      <c r="P29" t="s">
        <v>258</v>
      </c>
      <c r="Q29" s="10">
        <v>273.59999999999997</v>
      </c>
    </row>
    <row r="30" spans="1:17" x14ac:dyDescent="0.3">
      <c r="A30" t="s">
        <v>19</v>
      </c>
      <c r="B30" t="s">
        <v>802</v>
      </c>
      <c r="C30" s="10">
        <v>31</v>
      </c>
      <c r="D30" s="10">
        <v>1607.8999999999999</v>
      </c>
      <c r="J30" t="s">
        <v>19</v>
      </c>
      <c r="K30" t="s">
        <v>186</v>
      </c>
      <c r="L30" s="10">
        <v>60</v>
      </c>
      <c r="O30" t="s">
        <v>19</v>
      </c>
      <c r="P30" t="s">
        <v>186</v>
      </c>
      <c r="Q30" s="10">
        <v>2690.4</v>
      </c>
    </row>
    <row r="31" spans="1:17" x14ac:dyDescent="0.3">
      <c r="A31" t="s">
        <v>19</v>
      </c>
      <c r="B31" t="s">
        <v>98</v>
      </c>
      <c r="C31" s="10">
        <v>88</v>
      </c>
      <c r="D31" s="10">
        <v>6444.9</v>
      </c>
      <c r="J31" t="s">
        <v>19</v>
      </c>
      <c r="K31" t="s">
        <v>392</v>
      </c>
      <c r="L31" s="10">
        <v>2</v>
      </c>
      <c r="O31" t="s">
        <v>19</v>
      </c>
      <c r="P31" t="s">
        <v>392</v>
      </c>
      <c r="Q31" s="10">
        <v>28.4</v>
      </c>
    </row>
    <row r="32" spans="1:17" x14ac:dyDescent="0.3">
      <c r="A32" t="s">
        <v>19</v>
      </c>
      <c r="B32" t="s">
        <v>49</v>
      </c>
      <c r="C32" s="10">
        <v>25</v>
      </c>
      <c r="D32" s="10">
        <v>1809.3</v>
      </c>
      <c r="J32" t="s">
        <v>19</v>
      </c>
      <c r="K32" t="s">
        <v>670</v>
      </c>
      <c r="L32" s="10">
        <v>4</v>
      </c>
      <c r="O32" t="s">
        <v>19</v>
      </c>
      <c r="P32" t="s">
        <v>670</v>
      </c>
      <c r="Q32" s="10">
        <v>204.8</v>
      </c>
    </row>
    <row r="33" spans="1:17" x14ac:dyDescent="0.3">
      <c r="A33" t="s">
        <v>19</v>
      </c>
      <c r="B33" t="s">
        <v>188</v>
      </c>
      <c r="C33" s="10">
        <v>178</v>
      </c>
      <c r="D33" s="10">
        <v>9680.399999999996</v>
      </c>
      <c r="J33" t="s">
        <v>19</v>
      </c>
      <c r="K33" t="s">
        <v>802</v>
      </c>
      <c r="L33" s="10">
        <v>31</v>
      </c>
      <c r="O33" t="s">
        <v>19</v>
      </c>
      <c r="P33" t="s">
        <v>802</v>
      </c>
      <c r="Q33" s="10">
        <v>1607.8999999999999</v>
      </c>
    </row>
    <row r="34" spans="1:17" x14ac:dyDescent="0.3">
      <c r="A34" t="s">
        <v>19</v>
      </c>
      <c r="B34" t="s">
        <v>52</v>
      </c>
      <c r="C34" s="10">
        <v>141</v>
      </c>
      <c r="D34" s="10">
        <v>9414.7999999999993</v>
      </c>
      <c r="J34" t="s">
        <v>19</v>
      </c>
      <c r="K34" t="s">
        <v>98</v>
      </c>
      <c r="L34" s="10">
        <v>88</v>
      </c>
      <c r="O34" t="s">
        <v>19</v>
      </c>
      <c r="P34" t="s">
        <v>98</v>
      </c>
      <c r="Q34" s="10">
        <v>6444.9</v>
      </c>
    </row>
    <row r="35" spans="1:17" x14ac:dyDescent="0.3">
      <c r="A35" t="s">
        <v>19</v>
      </c>
      <c r="B35" t="s">
        <v>338</v>
      </c>
      <c r="C35" s="10">
        <v>6</v>
      </c>
      <c r="D35" s="10">
        <v>206.1</v>
      </c>
      <c r="J35" t="s">
        <v>19</v>
      </c>
      <c r="K35" t="s">
        <v>49</v>
      </c>
      <c r="L35" s="10">
        <v>25</v>
      </c>
      <c r="O35" t="s">
        <v>19</v>
      </c>
      <c r="P35" t="s">
        <v>49</v>
      </c>
      <c r="Q35" s="10">
        <v>1809.3</v>
      </c>
    </row>
    <row r="36" spans="1:17" x14ac:dyDescent="0.3">
      <c r="A36" t="s">
        <v>19</v>
      </c>
      <c r="B36" t="s">
        <v>158</v>
      </c>
      <c r="C36" s="10">
        <v>178</v>
      </c>
      <c r="D36" s="10">
        <v>7691.3</v>
      </c>
      <c r="J36" t="s">
        <v>19</v>
      </c>
      <c r="K36" t="s">
        <v>188</v>
      </c>
      <c r="L36" s="10">
        <v>178</v>
      </c>
      <c r="O36" t="s">
        <v>19</v>
      </c>
      <c r="P36" t="s">
        <v>188</v>
      </c>
      <c r="Q36" s="10">
        <v>9680.399999999996</v>
      </c>
    </row>
    <row r="37" spans="1:17" x14ac:dyDescent="0.3">
      <c r="A37" t="s">
        <v>19</v>
      </c>
      <c r="B37" t="s">
        <v>55</v>
      </c>
      <c r="C37" s="10">
        <v>699</v>
      </c>
      <c r="D37" s="10">
        <v>37784.900000000016</v>
      </c>
      <c r="J37" t="s">
        <v>19</v>
      </c>
      <c r="K37" t="s">
        <v>52</v>
      </c>
      <c r="L37" s="10">
        <v>141</v>
      </c>
      <c r="O37" t="s">
        <v>19</v>
      </c>
      <c r="P37" t="s">
        <v>52</v>
      </c>
      <c r="Q37" s="10">
        <v>9414.7999999999993</v>
      </c>
    </row>
    <row r="38" spans="1:17" x14ac:dyDescent="0.3">
      <c r="A38" t="s">
        <v>19</v>
      </c>
      <c r="B38" t="s">
        <v>342</v>
      </c>
      <c r="C38" s="10">
        <v>23</v>
      </c>
      <c r="D38" s="10">
        <v>1129.7</v>
      </c>
      <c r="J38" t="s">
        <v>19</v>
      </c>
      <c r="K38" t="s">
        <v>338</v>
      </c>
      <c r="L38" s="10">
        <v>6</v>
      </c>
      <c r="O38" t="s">
        <v>19</v>
      </c>
      <c r="P38" t="s">
        <v>338</v>
      </c>
      <c r="Q38" s="10">
        <v>206.1</v>
      </c>
    </row>
    <row r="39" spans="1:17" x14ac:dyDescent="0.3">
      <c r="A39" t="s">
        <v>19</v>
      </c>
      <c r="B39" t="s">
        <v>59</v>
      </c>
      <c r="C39" s="10">
        <v>356</v>
      </c>
      <c r="D39" s="10">
        <v>20988.9</v>
      </c>
      <c r="J39" t="s">
        <v>19</v>
      </c>
      <c r="K39" t="s">
        <v>158</v>
      </c>
      <c r="L39" s="10">
        <v>178</v>
      </c>
      <c r="O39" t="s">
        <v>19</v>
      </c>
      <c r="P39" t="s">
        <v>158</v>
      </c>
      <c r="Q39" s="10">
        <v>7691.3</v>
      </c>
    </row>
    <row r="40" spans="1:17" x14ac:dyDescent="0.3">
      <c r="A40" t="s">
        <v>19</v>
      </c>
      <c r="B40" t="s">
        <v>62</v>
      </c>
      <c r="C40" s="10">
        <v>1768</v>
      </c>
      <c r="D40" s="10">
        <v>98367.099999999977</v>
      </c>
      <c r="J40" t="s">
        <v>19</v>
      </c>
      <c r="K40" t="s">
        <v>55</v>
      </c>
      <c r="L40" s="10">
        <v>699</v>
      </c>
      <c r="O40" t="s">
        <v>19</v>
      </c>
      <c r="P40" t="s">
        <v>55</v>
      </c>
      <c r="Q40" s="10">
        <v>37784.900000000016</v>
      </c>
    </row>
    <row r="41" spans="1:17" x14ac:dyDescent="0.3">
      <c r="A41" t="s">
        <v>19</v>
      </c>
      <c r="B41" t="s">
        <v>103</v>
      </c>
      <c r="C41" s="10">
        <v>307</v>
      </c>
      <c r="D41" s="10">
        <v>21911.9</v>
      </c>
      <c r="J41" t="s">
        <v>19</v>
      </c>
      <c r="K41" t="s">
        <v>342</v>
      </c>
      <c r="L41" s="10">
        <v>23</v>
      </c>
      <c r="O41" t="s">
        <v>19</v>
      </c>
      <c r="P41" t="s">
        <v>342</v>
      </c>
      <c r="Q41" s="10">
        <v>1129.7</v>
      </c>
    </row>
    <row r="42" spans="1:17" x14ac:dyDescent="0.3">
      <c r="A42" t="s">
        <v>19</v>
      </c>
      <c r="B42" t="s">
        <v>201</v>
      </c>
      <c r="C42" s="10">
        <v>117</v>
      </c>
      <c r="D42" s="10">
        <v>5441.2</v>
      </c>
      <c r="J42" t="s">
        <v>19</v>
      </c>
      <c r="K42" t="s">
        <v>59</v>
      </c>
      <c r="L42" s="10">
        <v>356</v>
      </c>
      <c r="O42" t="s">
        <v>19</v>
      </c>
      <c r="P42" t="s">
        <v>59</v>
      </c>
      <c r="Q42" s="10">
        <v>20988.9</v>
      </c>
    </row>
    <row r="43" spans="1:17" x14ac:dyDescent="0.3">
      <c r="A43" t="s">
        <v>19</v>
      </c>
      <c r="B43" t="s">
        <v>429</v>
      </c>
      <c r="C43" s="10">
        <v>13</v>
      </c>
      <c r="D43" s="10">
        <v>392.8</v>
      </c>
      <c r="J43" t="s">
        <v>19</v>
      </c>
      <c r="K43" t="s">
        <v>62</v>
      </c>
      <c r="L43" s="10">
        <v>1768</v>
      </c>
      <c r="O43" t="s">
        <v>19</v>
      </c>
      <c r="P43" t="s">
        <v>62</v>
      </c>
      <c r="Q43" s="10">
        <v>98367.099999999977</v>
      </c>
    </row>
    <row r="44" spans="1:17" x14ac:dyDescent="0.3">
      <c r="A44" t="s">
        <v>19</v>
      </c>
      <c r="B44" t="s">
        <v>72</v>
      </c>
      <c r="C44" s="10">
        <v>364</v>
      </c>
      <c r="D44" s="10">
        <v>16172.000000000005</v>
      </c>
      <c r="J44" t="s">
        <v>19</v>
      </c>
      <c r="K44" t="s">
        <v>103</v>
      </c>
      <c r="L44" s="10">
        <v>307</v>
      </c>
      <c r="O44" t="s">
        <v>19</v>
      </c>
      <c r="P44" t="s">
        <v>103</v>
      </c>
      <c r="Q44" s="10">
        <v>21911.9</v>
      </c>
    </row>
    <row r="45" spans="1:17" x14ac:dyDescent="0.3">
      <c r="A45" t="s">
        <v>19</v>
      </c>
      <c r="B45" t="s">
        <v>74</v>
      </c>
      <c r="C45" s="10">
        <v>95</v>
      </c>
      <c r="D45" s="10">
        <v>4334.9999999999991</v>
      </c>
      <c r="J45" t="s">
        <v>19</v>
      </c>
      <c r="K45" t="s">
        <v>201</v>
      </c>
      <c r="L45" s="10">
        <v>117</v>
      </c>
      <c r="O45" t="s">
        <v>19</v>
      </c>
      <c r="P45" t="s">
        <v>201</v>
      </c>
      <c r="Q45" s="10">
        <v>5441.2</v>
      </c>
    </row>
    <row r="46" spans="1:17" x14ac:dyDescent="0.3">
      <c r="A46" t="s">
        <v>19</v>
      </c>
      <c r="B46" t="s">
        <v>77</v>
      </c>
      <c r="C46" s="10">
        <v>737</v>
      </c>
      <c r="D46" s="10">
        <v>37449.000000000007</v>
      </c>
      <c r="J46" t="s">
        <v>19</v>
      </c>
      <c r="K46" t="s">
        <v>429</v>
      </c>
      <c r="L46" s="10">
        <v>13</v>
      </c>
      <c r="O46" t="s">
        <v>19</v>
      </c>
      <c r="P46" t="s">
        <v>429</v>
      </c>
      <c r="Q46" s="10">
        <v>392.8</v>
      </c>
    </row>
    <row r="47" spans="1:17" x14ac:dyDescent="0.3">
      <c r="A47" t="s">
        <v>19</v>
      </c>
      <c r="B47" t="s">
        <v>309</v>
      </c>
      <c r="C47" s="10">
        <v>39</v>
      </c>
      <c r="D47" s="10">
        <v>2447.5</v>
      </c>
      <c r="J47" t="s">
        <v>19</v>
      </c>
      <c r="K47" t="s">
        <v>72</v>
      </c>
      <c r="L47" s="10">
        <v>364</v>
      </c>
      <c r="O47" t="s">
        <v>19</v>
      </c>
      <c r="P47" t="s">
        <v>72</v>
      </c>
      <c r="Q47" s="10">
        <v>16172.000000000005</v>
      </c>
    </row>
    <row r="48" spans="1:17" x14ac:dyDescent="0.3">
      <c r="A48" t="s">
        <v>19</v>
      </c>
      <c r="B48" t="s">
        <v>1116</v>
      </c>
      <c r="C48" s="10">
        <v>56</v>
      </c>
      <c r="D48" s="10">
        <v>3391.1</v>
      </c>
      <c r="J48" t="s">
        <v>19</v>
      </c>
      <c r="K48" t="s">
        <v>74</v>
      </c>
      <c r="L48" s="10">
        <v>95</v>
      </c>
      <c r="O48" t="s">
        <v>19</v>
      </c>
      <c r="P48" t="s">
        <v>74</v>
      </c>
      <c r="Q48" s="10">
        <v>4334.9999999999991</v>
      </c>
    </row>
    <row r="49" spans="1:17" x14ac:dyDescent="0.3">
      <c r="A49" t="s">
        <v>19</v>
      </c>
      <c r="B49" t="s">
        <v>700</v>
      </c>
      <c r="C49" s="10">
        <v>2</v>
      </c>
      <c r="D49" s="10">
        <v>30.8</v>
      </c>
      <c r="J49" t="s">
        <v>19</v>
      </c>
      <c r="K49" t="s">
        <v>77</v>
      </c>
      <c r="L49" s="10">
        <v>737</v>
      </c>
      <c r="O49" t="s">
        <v>19</v>
      </c>
      <c r="P49" t="s">
        <v>77</v>
      </c>
      <c r="Q49" s="10">
        <v>37449.000000000007</v>
      </c>
    </row>
    <row r="50" spans="1:17" x14ac:dyDescent="0.3">
      <c r="A50" t="s">
        <v>19</v>
      </c>
      <c r="B50" t="s">
        <v>268</v>
      </c>
      <c r="C50" s="10">
        <v>8</v>
      </c>
      <c r="D50" s="10">
        <v>332.3</v>
      </c>
      <c r="J50" t="s">
        <v>19</v>
      </c>
      <c r="K50" t="s">
        <v>309</v>
      </c>
      <c r="L50" s="10">
        <v>39</v>
      </c>
      <c r="O50" t="s">
        <v>19</v>
      </c>
      <c r="P50" t="s">
        <v>309</v>
      </c>
      <c r="Q50" s="10">
        <v>2447.5</v>
      </c>
    </row>
    <row r="51" spans="1:17" x14ac:dyDescent="0.3">
      <c r="A51" t="s">
        <v>19</v>
      </c>
      <c r="B51" t="s">
        <v>377</v>
      </c>
      <c r="C51" s="10">
        <v>52</v>
      </c>
      <c r="D51" s="10">
        <v>3175.9999999999995</v>
      </c>
      <c r="J51" t="s">
        <v>19</v>
      </c>
      <c r="K51" t="s">
        <v>1116</v>
      </c>
      <c r="L51" s="10">
        <v>56</v>
      </c>
      <c r="O51" t="s">
        <v>19</v>
      </c>
      <c r="P51" t="s">
        <v>1116</v>
      </c>
      <c r="Q51" s="10">
        <v>3391.1</v>
      </c>
    </row>
    <row r="52" spans="1:17" x14ac:dyDescent="0.3">
      <c r="A52" t="s">
        <v>19</v>
      </c>
      <c r="B52" t="s">
        <v>108</v>
      </c>
      <c r="C52" s="10">
        <v>295</v>
      </c>
      <c r="D52" s="10">
        <v>20939.600000000002</v>
      </c>
      <c r="J52" t="s">
        <v>19</v>
      </c>
      <c r="K52" t="s">
        <v>700</v>
      </c>
      <c r="L52" s="10">
        <v>2</v>
      </c>
      <c r="O52" t="s">
        <v>19</v>
      </c>
      <c r="P52" t="s">
        <v>700</v>
      </c>
      <c r="Q52" s="10">
        <v>30.8</v>
      </c>
    </row>
    <row r="53" spans="1:17" x14ac:dyDescent="0.3">
      <c r="A53" t="s">
        <v>19</v>
      </c>
      <c r="B53" t="s">
        <v>110</v>
      </c>
      <c r="C53" s="10">
        <v>195</v>
      </c>
      <c r="D53" s="10">
        <v>10185.899999999996</v>
      </c>
      <c r="J53" t="s">
        <v>19</v>
      </c>
      <c r="K53" t="s">
        <v>268</v>
      </c>
      <c r="L53" s="10">
        <v>8</v>
      </c>
      <c r="O53" t="s">
        <v>19</v>
      </c>
      <c r="P53" t="s">
        <v>268</v>
      </c>
      <c r="Q53" s="10">
        <v>332.3</v>
      </c>
    </row>
    <row r="54" spans="1:17" x14ac:dyDescent="0.3">
      <c r="A54" t="s">
        <v>19</v>
      </c>
      <c r="B54" t="s">
        <v>292</v>
      </c>
      <c r="C54" s="10">
        <v>20</v>
      </c>
      <c r="D54" s="10">
        <v>958.7</v>
      </c>
      <c r="J54" t="s">
        <v>19</v>
      </c>
      <c r="K54" t="s">
        <v>377</v>
      </c>
      <c r="L54" s="10">
        <v>52</v>
      </c>
      <c r="O54" t="s">
        <v>19</v>
      </c>
      <c r="P54" t="s">
        <v>377</v>
      </c>
      <c r="Q54" s="10">
        <v>3175.9999999999995</v>
      </c>
    </row>
    <row r="55" spans="1:17" x14ac:dyDescent="0.3">
      <c r="A55" t="s">
        <v>19</v>
      </c>
      <c r="B55" t="s">
        <v>79</v>
      </c>
      <c r="C55" s="10">
        <v>6</v>
      </c>
      <c r="D55" s="10">
        <v>323</v>
      </c>
      <c r="J55" t="s">
        <v>19</v>
      </c>
      <c r="K55" t="s">
        <v>108</v>
      </c>
      <c r="L55" s="10">
        <v>295</v>
      </c>
      <c r="O55" t="s">
        <v>19</v>
      </c>
      <c r="P55" t="s">
        <v>108</v>
      </c>
      <c r="Q55" s="10">
        <v>20939.600000000002</v>
      </c>
    </row>
    <row r="56" spans="1:17" x14ac:dyDescent="0.3">
      <c r="A56" t="s">
        <v>19</v>
      </c>
      <c r="B56" t="s">
        <v>608</v>
      </c>
      <c r="C56" s="10">
        <v>5</v>
      </c>
      <c r="D56" s="10">
        <v>167.70000000000002</v>
      </c>
      <c r="J56" t="s">
        <v>19</v>
      </c>
      <c r="K56" t="s">
        <v>110</v>
      </c>
      <c r="L56" s="10">
        <v>195</v>
      </c>
      <c r="O56" t="s">
        <v>19</v>
      </c>
      <c r="P56" t="s">
        <v>110</v>
      </c>
      <c r="Q56" s="10">
        <v>10185.899999999996</v>
      </c>
    </row>
    <row r="57" spans="1:17" x14ac:dyDescent="0.3">
      <c r="A57" t="s">
        <v>19</v>
      </c>
      <c r="B57" t="s">
        <v>113</v>
      </c>
      <c r="C57" s="10">
        <v>94</v>
      </c>
      <c r="D57" s="10">
        <v>3978.5</v>
      </c>
      <c r="J57" t="s">
        <v>19</v>
      </c>
      <c r="K57" t="s">
        <v>292</v>
      </c>
      <c r="L57" s="10">
        <v>20</v>
      </c>
      <c r="O57" t="s">
        <v>19</v>
      </c>
      <c r="P57" t="s">
        <v>292</v>
      </c>
      <c r="Q57" s="10">
        <v>958.7</v>
      </c>
    </row>
    <row r="58" spans="1:17" x14ac:dyDescent="0.3">
      <c r="A58" t="s">
        <v>19</v>
      </c>
      <c r="B58" t="s">
        <v>997</v>
      </c>
      <c r="C58" s="10">
        <v>28</v>
      </c>
      <c r="D58" s="10">
        <v>1405</v>
      </c>
      <c r="J58" t="s">
        <v>19</v>
      </c>
      <c r="K58" t="s">
        <v>79</v>
      </c>
      <c r="L58" s="10">
        <v>6</v>
      </c>
      <c r="O58" t="s">
        <v>19</v>
      </c>
      <c r="P58" t="s">
        <v>79</v>
      </c>
      <c r="Q58" s="10">
        <v>323</v>
      </c>
    </row>
    <row r="59" spans="1:17" x14ac:dyDescent="0.3">
      <c r="A59" t="s">
        <v>19</v>
      </c>
      <c r="B59" t="s">
        <v>82</v>
      </c>
      <c r="C59" s="10">
        <v>179</v>
      </c>
      <c r="D59" s="10">
        <v>9869.0999999999985</v>
      </c>
      <c r="J59" t="s">
        <v>19</v>
      </c>
      <c r="K59" t="s">
        <v>608</v>
      </c>
      <c r="L59" s="10">
        <v>5</v>
      </c>
      <c r="O59" t="s">
        <v>19</v>
      </c>
      <c r="P59" t="s">
        <v>608</v>
      </c>
      <c r="Q59" s="10">
        <v>167.70000000000002</v>
      </c>
    </row>
    <row r="60" spans="1:17" x14ac:dyDescent="0.3">
      <c r="A60" t="s">
        <v>19</v>
      </c>
      <c r="B60" t="s">
        <v>243</v>
      </c>
      <c r="C60" s="10">
        <v>15</v>
      </c>
      <c r="D60" s="10">
        <v>615.29999999999995</v>
      </c>
      <c r="J60" t="s">
        <v>19</v>
      </c>
      <c r="K60" t="s">
        <v>113</v>
      </c>
      <c r="L60" s="10">
        <v>94</v>
      </c>
      <c r="O60" t="s">
        <v>19</v>
      </c>
      <c r="P60" t="s">
        <v>113</v>
      </c>
      <c r="Q60" s="10">
        <v>3978.5</v>
      </c>
    </row>
    <row r="61" spans="1:17" x14ac:dyDescent="0.3">
      <c r="A61" t="s">
        <v>19</v>
      </c>
      <c r="B61" t="s">
        <v>1911</v>
      </c>
      <c r="C61" s="10">
        <v>3</v>
      </c>
      <c r="D61" s="10">
        <v>285</v>
      </c>
      <c r="J61" t="s">
        <v>19</v>
      </c>
      <c r="K61" t="s">
        <v>997</v>
      </c>
      <c r="L61" s="10">
        <v>28</v>
      </c>
      <c r="O61" t="s">
        <v>19</v>
      </c>
      <c r="P61" t="s">
        <v>997</v>
      </c>
      <c r="Q61" s="10">
        <v>1405</v>
      </c>
    </row>
    <row r="62" spans="1:17" x14ac:dyDescent="0.3">
      <c r="J62" t="s">
        <v>19</v>
      </c>
      <c r="K62" t="s">
        <v>82</v>
      </c>
      <c r="L62" s="10">
        <v>179</v>
      </c>
      <c r="O62" t="s">
        <v>19</v>
      </c>
      <c r="P62" t="s">
        <v>82</v>
      </c>
      <c r="Q62" s="10">
        <v>9869.0999999999985</v>
      </c>
    </row>
    <row r="63" spans="1:17" x14ac:dyDescent="0.3">
      <c r="J63" t="s">
        <v>19</v>
      </c>
      <c r="K63" t="s">
        <v>243</v>
      </c>
      <c r="L63" s="10">
        <v>15</v>
      </c>
      <c r="O63" t="s">
        <v>19</v>
      </c>
      <c r="P63" t="s">
        <v>243</v>
      </c>
      <c r="Q63" s="10">
        <v>615.29999999999995</v>
      </c>
    </row>
    <row r="64" spans="1:17" x14ac:dyDescent="0.3">
      <c r="J64" t="s">
        <v>19</v>
      </c>
      <c r="K64" t="s">
        <v>1911</v>
      </c>
      <c r="L64" s="10">
        <v>3</v>
      </c>
      <c r="O64" t="s">
        <v>19</v>
      </c>
      <c r="P64" t="s">
        <v>1911</v>
      </c>
      <c r="Q64" s="10">
        <v>285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C5B5-7B26-44B2-9EDC-2ECBBDC08535}">
  <dimension ref="A3:B19"/>
  <sheetViews>
    <sheetView workbookViewId="0"/>
  </sheetViews>
  <sheetFormatPr defaultRowHeight="14.4" x14ac:dyDescent="0.3"/>
  <cols>
    <col min="1" max="1" width="12.44140625" bestFit="1" customWidth="1"/>
    <col min="2" max="2" width="12.21875" bestFit="1" customWidth="1"/>
  </cols>
  <sheetData>
    <row r="3" spans="1:2" x14ac:dyDescent="0.3">
      <c r="A3" s="4" t="s">
        <v>2518</v>
      </c>
      <c r="B3" t="s">
        <v>2520</v>
      </c>
    </row>
    <row r="4" spans="1:2" x14ac:dyDescent="0.3">
      <c r="A4" s="5">
        <v>0</v>
      </c>
      <c r="B4" s="10">
        <v>175</v>
      </c>
    </row>
    <row r="5" spans="1:2" x14ac:dyDescent="0.3">
      <c r="A5" s="5">
        <v>1</v>
      </c>
      <c r="B5" s="10">
        <v>888</v>
      </c>
    </row>
    <row r="6" spans="1:2" x14ac:dyDescent="0.3">
      <c r="A6" s="5">
        <v>2</v>
      </c>
      <c r="B6" s="10">
        <v>538</v>
      </c>
    </row>
    <row r="7" spans="1:2" x14ac:dyDescent="0.3">
      <c r="A7" s="5">
        <v>3</v>
      </c>
      <c r="B7" s="10">
        <v>344</v>
      </c>
    </row>
    <row r="8" spans="1:2" x14ac:dyDescent="0.3">
      <c r="A8" s="5">
        <v>4</v>
      </c>
      <c r="B8" s="10">
        <v>200</v>
      </c>
    </row>
    <row r="9" spans="1:2" x14ac:dyDescent="0.3">
      <c r="A9" s="5">
        <v>5</v>
      </c>
      <c r="B9" s="10">
        <v>94</v>
      </c>
    </row>
    <row r="10" spans="1:2" x14ac:dyDescent="0.3">
      <c r="A10" s="5">
        <v>6</v>
      </c>
      <c r="B10" s="10">
        <v>51</v>
      </c>
    </row>
    <row r="11" spans="1:2" x14ac:dyDescent="0.3">
      <c r="A11" s="5">
        <v>7</v>
      </c>
      <c r="B11" s="10">
        <v>32</v>
      </c>
    </row>
    <row r="12" spans="1:2" x14ac:dyDescent="0.3">
      <c r="A12" s="5">
        <v>8</v>
      </c>
      <c r="B12" s="10">
        <v>23</v>
      </c>
    </row>
    <row r="13" spans="1:2" x14ac:dyDescent="0.3">
      <c r="A13" s="5">
        <v>9</v>
      </c>
      <c r="B13" s="10">
        <v>9</v>
      </c>
    </row>
    <row r="14" spans="1:2" x14ac:dyDescent="0.3">
      <c r="A14" s="5">
        <v>10</v>
      </c>
      <c r="B14" s="10">
        <v>8</v>
      </c>
    </row>
    <row r="15" spans="1:2" x14ac:dyDescent="0.3">
      <c r="A15" s="5">
        <v>11</v>
      </c>
      <c r="B15" s="10">
        <v>11</v>
      </c>
    </row>
    <row r="16" spans="1:2" x14ac:dyDescent="0.3">
      <c r="A16" s="5">
        <v>12</v>
      </c>
      <c r="B16" s="10">
        <v>4</v>
      </c>
    </row>
    <row r="17" spans="1:2" x14ac:dyDescent="0.3">
      <c r="A17" s="5">
        <v>13</v>
      </c>
      <c r="B17" s="10">
        <v>10</v>
      </c>
    </row>
    <row r="18" spans="1:2" x14ac:dyDescent="0.3">
      <c r="A18" s="5">
        <v>14</v>
      </c>
      <c r="B18" s="10">
        <v>13</v>
      </c>
    </row>
    <row r="19" spans="1:2" x14ac:dyDescent="0.3">
      <c r="A19" s="5" t="s">
        <v>2519</v>
      </c>
      <c r="B19" s="10">
        <v>2400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zoomScaleNormal="100" workbookViewId="0"/>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4.109375" customWidth="1"/>
    <col min="7" max="7" width="12.44140625" customWidth="1"/>
    <col min="8" max="8" width="10" customWidth="1"/>
    <col min="9" max="9" width="13.44140625"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heetViews>
  <sheetFormatPr defaultRowHeight="14.4" x14ac:dyDescent="0.3"/>
  <cols>
    <col min="1" max="1" width="3.6640625" customWidth="1"/>
    <col min="2" max="2" width="52.77734375" customWidth="1"/>
  </cols>
  <sheetData>
    <row r="2" spans="2:2" x14ac:dyDescent="0.3">
      <c r="B2" s="2" t="s">
        <v>2503</v>
      </c>
    </row>
    <row r="3" spans="2:2" x14ac:dyDescent="0.3">
      <c r="B3" s="3" t="s">
        <v>2504</v>
      </c>
    </row>
    <row r="4" spans="2:2" x14ac:dyDescent="0.3">
      <c r="B4" s="3" t="s">
        <v>2505</v>
      </c>
    </row>
    <row r="5" spans="2:2" x14ac:dyDescent="0.3">
      <c r="B5" s="3" t="s">
        <v>2506</v>
      </c>
    </row>
    <row r="6" spans="2:2" x14ac:dyDescent="0.3">
      <c r="B6" s="3" t="s">
        <v>2507</v>
      </c>
    </row>
    <row r="7" spans="2:2" x14ac:dyDescent="0.3">
      <c r="B7" s="3" t="s">
        <v>2508</v>
      </c>
    </row>
    <row r="10" spans="2:2" x14ac:dyDescent="0.3">
      <c r="B10" s="2"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pivots</vt:lpstr>
      <vt:lpstr>dashborad</vt:lpstr>
      <vt:lpstr>Sheet3</vt:lpstr>
      <vt:lpstr>Sheet4</vt:lpstr>
      <vt:lpstr>Sheet5</vt:lpstr>
      <vt:lpstr>Sheet6</vt:lpstr>
      <vt:lpstr>Sheet7</vt:lpstr>
      <vt:lpstr>Data</vt:lpstr>
      <vt:lpstr>Questions &amp; 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devadi057@gmail.com</cp:lastModifiedBy>
  <dcterms:created xsi:type="dcterms:W3CDTF">2025-06-13T02:42:26Z</dcterms:created>
  <dcterms:modified xsi:type="dcterms:W3CDTF">2025-12-24T20:08:38Z</dcterms:modified>
</cp:coreProperties>
</file>